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Ex3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4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pivotTables/pivotTable2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Ex5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6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1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3.xml" ContentType="application/vnd.openxmlformats-officedocument.spreadsheetml.pivotTab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1.xml" ContentType="application/vnd.openxmlformats-officedocument.drawingml.chartshapes+xml"/>
  <Override PartName="/xl/charts/chart2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PASWAN\Documents\"/>
    </mc:Choice>
  </mc:AlternateContent>
  <xr:revisionPtr revIDLastSave="0" documentId="13_ncr:1_{D9F10B4D-878E-437C-8650-1DEB0A378FB2}" xr6:coauthVersionLast="47" xr6:coauthVersionMax="47" xr10:uidLastSave="{00000000-0000-0000-0000-000000000000}"/>
  <bookViews>
    <workbookView xWindow="-108" yWindow="-108" windowWidth="23256" windowHeight="12456" tabRatio="810" firstSheet="2" activeTab="4" xr2:uid="{BAA13395-C92D-47E8-979A-C058A9FF8AAE}"/>
  </bookViews>
  <sheets>
    <sheet name="Raw Data" sheetId="1" r:id="rId1"/>
    <sheet name="Main data" sheetId="2" r:id="rId2"/>
    <sheet name="Notes" sheetId="3" r:id="rId3"/>
    <sheet name="Problem Statement" sheetId="5" r:id="rId4"/>
    <sheet name="Communication" sheetId="10" r:id="rId5"/>
    <sheet name="Objective 1" sheetId="6" r:id="rId6"/>
    <sheet name="Objective 2" sheetId="8" r:id="rId7"/>
    <sheet name="Objective 2.1" sheetId="11" r:id="rId8"/>
    <sheet name="Objective 3" sheetId="9" r:id="rId9"/>
    <sheet name="Objective 3.1" sheetId="16" r:id="rId10"/>
    <sheet name="Objective 4" sheetId="7" r:id="rId11"/>
    <sheet name="Objective 4.1" sheetId="14" r:id="rId12"/>
    <sheet name="Objective 5" sheetId="15" r:id="rId13"/>
  </sheets>
  <externalReferences>
    <externalReference r:id="rId14"/>
  </externalReferences>
  <definedNames>
    <definedName name="_xlnm._FilterDatabase" localSheetId="1" hidden="1">'Main data'!$A$1:$AI$373</definedName>
    <definedName name="_xlnm._FilterDatabase" localSheetId="10" hidden="1">'Objective 4'!$A$1:$M$373</definedName>
    <definedName name="_xlchart.v1.0" hidden="1">'[1]Problem 3'!$B$107:$B$118</definedName>
    <definedName name="_xlchart.v1.1" hidden="1">'[1]Problem 3'!$C$106</definedName>
    <definedName name="_xlchart.v1.10" hidden="1">'[1]Problem 3'!$C$106</definedName>
    <definedName name="_xlchart.v1.11" hidden="1">'[1]Problem 3'!$C$107:$C$118</definedName>
    <definedName name="_xlchart.v1.12" hidden="1">'[1]Problem 3'!$G$11:$G$22</definedName>
    <definedName name="_xlchart.v1.13" hidden="1">'[1]Problem 3'!$I$10</definedName>
    <definedName name="_xlchart.v1.14" hidden="1">'[1]Problem 3'!$I$11:$I$22</definedName>
    <definedName name="_xlchart.v1.15" hidden="1">'[1]Problem 3'!$B$107:$B$118</definedName>
    <definedName name="_xlchart.v1.16" hidden="1">'[1]Problem 3'!$C$106</definedName>
    <definedName name="_xlchart.v1.17" hidden="1">'[1]Problem 3'!$C$107:$C$118</definedName>
    <definedName name="_xlchart.v1.2" hidden="1">'[1]Problem 3'!$C$107:$C$118</definedName>
    <definedName name="_xlchart.v1.3" hidden="1">'Objective 3'!$C$4:$C$16</definedName>
    <definedName name="_xlchart.v1.4" hidden="1">'Objective 3'!$I$3</definedName>
    <definedName name="_xlchart.v1.5" hidden="1">'Objective 3'!$I$4:$I$16</definedName>
    <definedName name="_xlchart.v1.6" hidden="1">'Objective 3'!$C$4:$C$16</definedName>
    <definedName name="_xlchart.v1.7" hidden="1">'Objective 3'!$I$3</definedName>
    <definedName name="_xlchart.v1.8" hidden="1">'Objective 3'!$I$4:$I$16</definedName>
    <definedName name="_xlchart.v1.9" hidden="1">'[1]Problem 3'!$B$107:$B$118</definedName>
  </definedNames>
  <calcPr calcId="191029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7" i="14" l="1"/>
  <c r="F67" i="14"/>
  <c r="E67" i="14"/>
  <c r="G66" i="14"/>
  <c r="F66" i="14"/>
  <c r="E66" i="14"/>
  <c r="G65" i="14"/>
  <c r="F65" i="14"/>
  <c r="E65" i="14"/>
  <c r="G64" i="14"/>
  <c r="F64" i="14"/>
  <c r="E64" i="14"/>
  <c r="G63" i="14"/>
  <c r="F63" i="14"/>
  <c r="E63" i="14"/>
  <c r="E26" i="14"/>
  <c r="H52" i="11" l="1"/>
  <c r="F52" i="11"/>
  <c r="C52" i="11"/>
  <c r="H51" i="11"/>
  <c r="F51" i="11"/>
  <c r="C51" i="11"/>
  <c r="H50" i="11"/>
  <c r="F50" i="11"/>
  <c r="C50" i="11"/>
  <c r="H49" i="11"/>
  <c r="F49" i="11"/>
  <c r="C49" i="11"/>
  <c r="H48" i="11"/>
  <c r="F48" i="11"/>
  <c r="C48" i="11"/>
  <c r="H47" i="11"/>
  <c r="F47" i="11"/>
  <c r="C47" i="11"/>
  <c r="H46" i="11"/>
  <c r="F46" i="11"/>
  <c r="C46" i="11"/>
  <c r="H45" i="11"/>
  <c r="F45" i="11"/>
  <c r="C45" i="11"/>
  <c r="H44" i="11"/>
  <c r="F44" i="11"/>
  <c r="C44" i="11"/>
  <c r="H43" i="11"/>
  <c r="F43" i="11"/>
  <c r="C43" i="11"/>
  <c r="D5" i="11"/>
  <c r="D6" i="11"/>
  <c r="D7" i="11"/>
  <c r="D8" i="11"/>
  <c r="D9" i="11"/>
  <c r="D10" i="11"/>
  <c r="D11" i="11"/>
  <c r="D12" i="11"/>
  <c r="D13" i="11"/>
  <c r="D14" i="11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AS92" i="16"/>
  <c r="AR92" i="16"/>
  <c r="AQ92" i="16"/>
  <c r="AP92" i="16"/>
  <c r="AO92" i="16"/>
  <c r="AN92" i="16"/>
  <c r="AM92" i="16"/>
  <c r="AL92" i="16"/>
  <c r="AK92" i="16"/>
  <c r="AJ92" i="16"/>
  <c r="AI92" i="16"/>
  <c r="AH92" i="16"/>
  <c r="AC92" i="16"/>
  <c r="AB92" i="16"/>
  <c r="AA92" i="16"/>
  <c r="Z92" i="16"/>
  <c r="Y92" i="16"/>
  <c r="X92" i="16"/>
  <c r="W92" i="16"/>
  <c r="V92" i="16"/>
  <c r="U92" i="16"/>
  <c r="T92" i="16"/>
  <c r="S92" i="16"/>
  <c r="R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AS91" i="16"/>
  <c r="AR91" i="16"/>
  <c r="AQ91" i="16"/>
  <c r="AP91" i="16"/>
  <c r="AO91" i="16"/>
  <c r="AN91" i="16"/>
  <c r="AM91" i="16"/>
  <c r="AL91" i="16"/>
  <c r="AK91" i="16"/>
  <c r="AJ91" i="16"/>
  <c r="AI91" i="16"/>
  <c r="AH91" i="16"/>
  <c r="AC91" i="16"/>
  <c r="AB91" i="16"/>
  <c r="AA91" i="16"/>
  <c r="Z91" i="16"/>
  <c r="Y91" i="16"/>
  <c r="X91" i="16"/>
  <c r="W91" i="16"/>
  <c r="V91" i="16"/>
  <c r="U91" i="16"/>
  <c r="T91" i="16"/>
  <c r="S91" i="16"/>
  <c r="R91" i="16"/>
  <c r="N91" i="16"/>
  <c r="M91" i="16"/>
  <c r="L91" i="16"/>
  <c r="K91" i="16"/>
  <c r="J91" i="16"/>
  <c r="I91" i="16"/>
  <c r="H91" i="16"/>
  <c r="G91" i="16"/>
  <c r="F91" i="16"/>
  <c r="E91" i="16"/>
  <c r="D91" i="16"/>
  <c r="C91" i="16"/>
  <c r="AS90" i="16"/>
  <c r="AR90" i="16"/>
  <c r="AQ90" i="16"/>
  <c r="AP90" i="16"/>
  <c r="AO90" i="16"/>
  <c r="AN90" i="16"/>
  <c r="AM90" i="16"/>
  <c r="AL90" i="16"/>
  <c r="AK90" i="16"/>
  <c r="AJ90" i="16"/>
  <c r="AI90" i="16"/>
  <c r="AH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AS87" i="16"/>
  <c r="AS100" i="16" s="1"/>
  <c r="AR87" i="16"/>
  <c r="AR100" i="16" s="1"/>
  <c r="AQ87" i="16"/>
  <c r="AQ100" i="16" s="1"/>
  <c r="AP87" i="16"/>
  <c r="AP100" i="16" s="1"/>
  <c r="AO87" i="16"/>
  <c r="AO100" i="16" s="1"/>
  <c r="AN87" i="16"/>
  <c r="AN100" i="16" s="1"/>
  <c r="AM87" i="16"/>
  <c r="AM100" i="16" s="1"/>
  <c r="AL87" i="16"/>
  <c r="AL100" i="16" s="1"/>
  <c r="AK87" i="16"/>
  <c r="AK100" i="16" s="1"/>
  <c r="AJ87" i="16"/>
  <c r="AJ100" i="16" s="1"/>
  <c r="AI87" i="16"/>
  <c r="AI100" i="16" s="1"/>
  <c r="AH87" i="16"/>
  <c r="AH100" i="16" s="1"/>
  <c r="AC87" i="16"/>
  <c r="AC100" i="16" s="1"/>
  <c r="AB87" i="16"/>
  <c r="AB100" i="16" s="1"/>
  <c r="AA87" i="16"/>
  <c r="AA100" i="16" s="1"/>
  <c r="Z87" i="16"/>
  <c r="Z100" i="16" s="1"/>
  <c r="Y87" i="16"/>
  <c r="Y100" i="16" s="1"/>
  <c r="X87" i="16"/>
  <c r="X100" i="16" s="1"/>
  <c r="W87" i="16"/>
  <c r="W100" i="16" s="1"/>
  <c r="V87" i="16"/>
  <c r="V100" i="16" s="1"/>
  <c r="U87" i="16"/>
  <c r="U100" i="16" s="1"/>
  <c r="T87" i="16"/>
  <c r="T100" i="16" s="1"/>
  <c r="S87" i="16"/>
  <c r="S100" i="16" s="1"/>
  <c r="R87" i="16"/>
  <c r="R100" i="16" s="1"/>
  <c r="N87" i="16"/>
  <c r="N99" i="16" s="1"/>
  <c r="M87" i="16"/>
  <c r="M99" i="16" s="1"/>
  <c r="L87" i="16"/>
  <c r="L99" i="16" s="1"/>
  <c r="K87" i="16"/>
  <c r="K99" i="16" s="1"/>
  <c r="J87" i="16"/>
  <c r="J99" i="16" s="1"/>
  <c r="I87" i="16"/>
  <c r="I99" i="16" s="1"/>
  <c r="H87" i="16"/>
  <c r="H99" i="16" s="1"/>
  <c r="G87" i="16"/>
  <c r="G99" i="16" s="1"/>
  <c r="F87" i="16"/>
  <c r="F99" i="16" s="1"/>
  <c r="E87" i="16"/>
  <c r="E99" i="16" s="1"/>
  <c r="D87" i="16"/>
  <c r="D99" i="16" s="1"/>
  <c r="C87" i="16"/>
  <c r="C99" i="16" s="1"/>
  <c r="J22" i="16"/>
  <c r="I22" i="16"/>
  <c r="H22" i="16"/>
  <c r="J21" i="16"/>
  <c r="I21" i="16"/>
  <c r="H21" i="16"/>
  <c r="J20" i="16"/>
  <c r="I20" i="16"/>
  <c r="H20" i="16"/>
  <c r="J19" i="16"/>
  <c r="I19" i="16"/>
  <c r="H19" i="16"/>
  <c r="J18" i="16"/>
  <c r="I18" i="16"/>
  <c r="H18" i="16"/>
  <c r="J17" i="16"/>
  <c r="I17" i="16"/>
  <c r="H17" i="16"/>
  <c r="J16" i="16"/>
  <c r="I16" i="16"/>
  <c r="H16" i="16"/>
  <c r="J15" i="16"/>
  <c r="I15" i="16"/>
  <c r="H15" i="16"/>
  <c r="J14" i="16"/>
  <c r="I14" i="16"/>
  <c r="H14" i="16"/>
  <c r="J13" i="16"/>
  <c r="I13" i="16"/>
  <c r="H13" i="16"/>
  <c r="J12" i="16"/>
  <c r="I12" i="16"/>
  <c r="H12" i="16"/>
  <c r="J11" i="16"/>
  <c r="I11" i="16"/>
  <c r="H11" i="16"/>
  <c r="C24" i="11"/>
  <c r="C25" i="11"/>
  <c r="C26" i="11"/>
  <c r="C27" i="11"/>
  <c r="C28" i="11"/>
  <c r="C29" i="11"/>
  <c r="C30" i="11"/>
  <c r="C31" i="11"/>
  <c r="C32" i="11"/>
  <c r="C23" i="11"/>
  <c r="X11" i="6" l="1"/>
  <c r="W11" i="6"/>
  <c r="V11" i="6"/>
  <c r="U11" i="6"/>
  <c r="T11" i="6"/>
  <c r="S11" i="6"/>
  <c r="R11" i="6"/>
  <c r="Q11" i="6"/>
  <c r="D13" i="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F27" i="14" l="1"/>
  <c r="G27" i="14"/>
  <c r="G28" i="14"/>
  <c r="G29" i="14"/>
  <c r="G26" i="14"/>
  <c r="F28" i="14"/>
  <c r="F29" i="14"/>
  <c r="F26" i="14"/>
  <c r="E27" i="14"/>
  <c r="E28" i="14"/>
  <c r="E29" i="14"/>
  <c r="I6" i="9"/>
  <c r="I7" i="9"/>
  <c r="I8" i="9"/>
  <c r="I9" i="9"/>
  <c r="I10" i="9"/>
  <c r="I11" i="9"/>
  <c r="I12" i="9"/>
  <c r="I13" i="9"/>
  <c r="I14" i="9"/>
  <c r="I15" i="9"/>
  <c r="I16" i="9"/>
  <c r="I5" i="9"/>
  <c r="H6" i="9"/>
  <c r="H7" i="9"/>
  <c r="H8" i="9"/>
  <c r="H9" i="9"/>
  <c r="H10" i="9"/>
  <c r="H11" i="9"/>
  <c r="H12" i="9"/>
  <c r="H13" i="9"/>
  <c r="H14" i="9"/>
  <c r="H15" i="9"/>
  <c r="H16" i="9"/>
  <c r="H5" i="9"/>
  <c r="G6" i="9"/>
  <c r="G7" i="9"/>
  <c r="G8" i="9"/>
  <c r="G9" i="9"/>
  <c r="G10" i="9"/>
  <c r="G11" i="9"/>
  <c r="G12" i="9"/>
  <c r="G13" i="9"/>
  <c r="G14" i="9"/>
  <c r="G15" i="9"/>
  <c r="G16" i="9"/>
  <c r="G5" i="9"/>
  <c r="D9" i="8" l="1"/>
  <c r="D10" i="8"/>
  <c r="D11" i="8"/>
  <c r="D12" i="8"/>
  <c r="D13" i="8"/>
  <c r="D14" i="8"/>
  <c r="D8" i="8"/>
  <c r="K13" i="6"/>
  <c r="K12" i="6"/>
  <c r="K11" i="6"/>
  <c r="J13" i="6"/>
  <c r="J12" i="6"/>
  <c r="J11" i="6"/>
  <c r="I13" i="6"/>
  <c r="I12" i="6"/>
  <c r="I11" i="6"/>
  <c r="H13" i="6"/>
  <c r="H12" i="6"/>
  <c r="H11" i="6"/>
  <c r="G13" i="6"/>
  <c r="G12" i="6"/>
  <c r="G11" i="6"/>
  <c r="F13" i="6"/>
  <c r="F12" i="6"/>
  <c r="F11" i="6"/>
  <c r="E13" i="6"/>
  <c r="E12" i="6"/>
  <c r="E11" i="6"/>
  <c r="D12" i="6"/>
  <c r="D11" i="6"/>
  <c r="L5" i="6"/>
  <c r="L6" i="6"/>
  <c r="L4" i="6"/>
  <c r="AI360" i="2"/>
  <c r="AI361" i="2"/>
  <c r="AI362" i="2"/>
  <c r="AI363" i="2"/>
  <c r="AI364" i="2"/>
  <c r="AI350" i="2"/>
  <c r="AI351" i="2"/>
  <c r="AI352" i="2"/>
  <c r="AI371" i="2"/>
  <c r="AI372" i="2"/>
  <c r="AI373" i="2"/>
  <c r="AI347" i="2"/>
  <c r="AI348" i="2"/>
  <c r="AI349" i="2"/>
  <c r="AI353" i="2"/>
  <c r="AI354" i="2"/>
  <c r="AI355" i="2"/>
  <c r="AI356" i="2"/>
  <c r="AI357" i="2"/>
  <c r="AI358" i="2"/>
  <c r="AI368" i="2"/>
  <c r="AI369" i="2"/>
  <c r="AI370" i="2"/>
  <c r="AI338" i="2"/>
  <c r="AI339" i="2"/>
  <c r="AI340" i="2"/>
  <c r="AI341" i="2"/>
  <c r="AI342" i="2"/>
  <c r="AI343" i="2"/>
  <c r="AI344" i="2"/>
  <c r="AI345" i="2"/>
  <c r="AI346" i="2"/>
  <c r="AI365" i="2"/>
  <c r="AI366" i="2"/>
  <c r="AI367" i="2"/>
  <c r="AI323" i="2"/>
  <c r="AI324" i="2"/>
  <c r="AI325" i="2"/>
  <c r="AI326" i="2"/>
  <c r="AI327" i="2"/>
  <c r="AI328" i="2"/>
  <c r="AI315" i="2"/>
  <c r="AI316" i="2"/>
  <c r="AI314" i="2"/>
  <c r="AI335" i="2"/>
  <c r="AI336" i="2"/>
  <c r="AI337" i="2"/>
  <c r="AI311" i="2"/>
  <c r="AI312" i="2"/>
  <c r="AI313" i="2"/>
  <c r="AI317" i="2"/>
  <c r="AI318" i="2"/>
  <c r="AI319" i="2"/>
  <c r="AI320" i="2"/>
  <c r="AI321" i="2"/>
  <c r="AI322" i="2"/>
  <c r="AI332" i="2"/>
  <c r="AI333" i="2"/>
  <c r="AI334" i="2"/>
  <c r="AI302" i="2"/>
  <c r="AI303" i="2"/>
  <c r="AI304" i="2"/>
  <c r="AI305" i="2"/>
  <c r="AI306" i="2"/>
  <c r="AI307" i="2"/>
  <c r="AI308" i="2"/>
  <c r="AI309" i="2"/>
  <c r="AI310" i="2"/>
  <c r="AI329" i="2"/>
  <c r="AI330" i="2"/>
  <c r="AI331" i="2"/>
  <c r="AI287" i="2"/>
  <c r="AI288" i="2"/>
  <c r="AI289" i="2"/>
  <c r="AI290" i="2"/>
  <c r="AI291" i="2"/>
  <c r="AI292" i="2"/>
  <c r="AI278" i="2"/>
  <c r="AI279" i="2"/>
  <c r="AI280" i="2"/>
  <c r="AI299" i="2"/>
  <c r="AI300" i="2"/>
  <c r="AI301" i="2"/>
  <c r="AI275" i="2"/>
  <c r="AI276" i="2"/>
  <c r="AI277" i="2"/>
  <c r="AI281" i="2"/>
  <c r="AI282" i="2"/>
  <c r="AI283" i="2"/>
  <c r="AI284" i="2"/>
  <c r="AI285" i="2"/>
  <c r="AI286" i="2"/>
  <c r="AI296" i="2"/>
  <c r="AI297" i="2"/>
  <c r="AI298" i="2"/>
  <c r="AI266" i="2"/>
  <c r="AI267" i="2"/>
  <c r="AI268" i="2"/>
  <c r="AI269" i="2"/>
  <c r="AI270" i="2"/>
  <c r="AI271" i="2"/>
  <c r="AI272" i="2"/>
  <c r="AI273" i="2"/>
  <c r="AI274" i="2"/>
  <c r="AI293" i="2"/>
  <c r="AI294" i="2"/>
  <c r="AI295" i="2"/>
  <c r="AI256" i="2"/>
  <c r="AI257" i="2"/>
  <c r="AI237" i="2"/>
  <c r="AI258" i="2"/>
  <c r="AI259" i="2"/>
  <c r="AI238" i="2"/>
  <c r="AI250" i="2"/>
  <c r="AI251" i="2"/>
  <c r="AI234" i="2"/>
  <c r="AI264" i="2"/>
  <c r="AI265" i="2"/>
  <c r="AI241" i="2"/>
  <c r="AI248" i="2"/>
  <c r="AI249" i="2"/>
  <c r="AI233" i="2"/>
  <c r="AI252" i="2"/>
  <c r="AI253" i="2"/>
  <c r="AI235" i="2"/>
  <c r="AI254" i="2"/>
  <c r="AI255" i="2"/>
  <c r="AI236" i="2"/>
  <c r="AI262" i="2"/>
  <c r="AI263" i="2"/>
  <c r="AI240" i="2"/>
  <c r="AI242" i="2"/>
  <c r="AI243" i="2"/>
  <c r="AI230" i="2"/>
  <c r="AI244" i="2"/>
  <c r="AI245" i="2"/>
  <c r="AI231" i="2"/>
  <c r="AI246" i="2"/>
  <c r="AI247" i="2"/>
  <c r="AI232" i="2"/>
  <c r="AI260" i="2"/>
  <c r="AI261" i="2"/>
  <c r="AI239" i="2"/>
  <c r="AI220" i="2"/>
  <c r="AI221" i="2"/>
  <c r="AI201" i="2"/>
  <c r="AI222" i="2"/>
  <c r="AI223" i="2"/>
  <c r="AI202" i="2"/>
  <c r="AI214" i="2"/>
  <c r="AI215" i="2"/>
  <c r="AI198" i="2"/>
  <c r="AI228" i="2"/>
  <c r="AI229" i="2"/>
  <c r="AI205" i="2"/>
  <c r="AI212" i="2"/>
  <c r="AI213" i="2"/>
  <c r="AI197" i="2"/>
  <c r="AI216" i="2"/>
  <c r="AI217" i="2"/>
  <c r="AI199" i="2"/>
  <c r="AI218" i="2"/>
  <c r="AI219" i="2"/>
  <c r="AI200" i="2"/>
  <c r="AI226" i="2"/>
  <c r="AI227" i="2"/>
  <c r="AI204" i="2"/>
  <c r="AI206" i="2"/>
  <c r="AI207" i="2"/>
  <c r="AI194" i="2"/>
  <c r="AI208" i="2"/>
  <c r="AI209" i="2"/>
  <c r="AI195" i="2"/>
  <c r="AI210" i="2"/>
  <c r="AI211" i="2"/>
  <c r="AI196" i="2"/>
  <c r="AI224" i="2"/>
  <c r="AI225" i="2"/>
  <c r="AI203" i="2"/>
  <c r="AI184" i="2"/>
  <c r="AI185" i="2"/>
  <c r="AI165" i="2"/>
  <c r="AI186" i="2"/>
  <c r="AI187" i="2"/>
  <c r="AI166" i="2"/>
  <c r="AI178" i="2"/>
  <c r="AI179" i="2"/>
  <c r="AI162" i="2"/>
  <c r="AI192" i="2"/>
  <c r="AI193" i="2"/>
  <c r="AI169" i="2"/>
  <c r="AI176" i="2"/>
  <c r="AI177" i="2"/>
  <c r="AI161" i="2"/>
  <c r="AI180" i="2"/>
  <c r="AI181" i="2"/>
  <c r="AI163" i="2"/>
  <c r="AI182" i="2"/>
  <c r="AI183" i="2"/>
  <c r="AI164" i="2"/>
  <c r="AI190" i="2"/>
  <c r="AI191" i="2"/>
  <c r="AI168" i="2"/>
  <c r="AI170" i="2"/>
  <c r="AI171" i="2"/>
  <c r="AI158" i="2"/>
  <c r="AI172" i="2"/>
  <c r="AI173" i="2"/>
  <c r="AI159" i="2"/>
  <c r="AI174" i="2"/>
  <c r="AI175" i="2"/>
  <c r="AI160" i="2"/>
  <c r="AI188" i="2"/>
  <c r="AI189" i="2"/>
  <c r="AI167" i="2"/>
  <c r="AI150" i="2"/>
  <c r="AI151" i="2"/>
  <c r="AI138" i="2"/>
  <c r="AI152" i="2"/>
  <c r="AI153" i="2"/>
  <c r="AI141" i="2"/>
  <c r="AI142" i="2"/>
  <c r="AI143" i="2"/>
  <c r="AI129" i="2"/>
  <c r="AI139" i="2"/>
  <c r="AI140" i="2"/>
  <c r="AI128" i="2"/>
  <c r="AI145" i="2"/>
  <c r="AI146" i="2"/>
  <c r="AI132" i="2"/>
  <c r="AI148" i="2"/>
  <c r="AI149" i="2"/>
  <c r="AI135" i="2"/>
  <c r="AI156" i="2"/>
  <c r="AI157" i="2"/>
  <c r="AI147" i="2"/>
  <c r="AI130" i="2"/>
  <c r="AI131" i="2"/>
  <c r="AI125" i="2"/>
  <c r="AI133" i="2"/>
  <c r="AI134" i="2"/>
  <c r="AI126" i="2"/>
  <c r="AI136" i="2"/>
  <c r="AI137" i="2"/>
  <c r="AI127" i="2"/>
  <c r="AI154" i="2"/>
  <c r="AI155" i="2"/>
  <c r="AI144" i="2"/>
  <c r="AI103" i="2"/>
  <c r="AI104" i="2"/>
  <c r="AI120" i="2"/>
  <c r="AI105" i="2"/>
  <c r="AI106" i="2"/>
  <c r="AI121" i="2"/>
  <c r="AI97" i="2"/>
  <c r="AI98" i="2"/>
  <c r="AI117" i="2"/>
  <c r="AI111" i="2"/>
  <c r="AI112" i="2"/>
  <c r="AI124" i="2"/>
  <c r="AI95" i="2"/>
  <c r="AI96" i="2"/>
  <c r="AI116" i="2"/>
  <c r="AI99" i="2"/>
  <c r="AI100" i="2"/>
  <c r="AI118" i="2"/>
  <c r="AI101" i="2"/>
  <c r="AI102" i="2"/>
  <c r="AI119" i="2"/>
  <c r="AI109" i="2"/>
  <c r="AI110" i="2"/>
  <c r="AI123" i="2"/>
  <c r="AI89" i="2"/>
  <c r="AI90" i="2"/>
  <c r="AI113" i="2"/>
  <c r="AI91" i="2"/>
  <c r="AI92" i="2"/>
  <c r="AI114" i="2"/>
  <c r="AI93" i="2"/>
  <c r="AI94" i="2"/>
  <c r="AI115" i="2"/>
  <c r="AI107" i="2"/>
  <c r="AI108" i="2"/>
  <c r="AI122" i="2"/>
  <c r="AI67" i="2"/>
  <c r="AI68" i="2"/>
  <c r="AI84" i="2"/>
  <c r="AI69" i="2"/>
  <c r="AI70" i="2"/>
  <c r="AI85" i="2"/>
  <c r="AI61" i="2"/>
  <c r="AI62" i="2"/>
  <c r="AI81" i="2"/>
  <c r="AI75" i="2"/>
  <c r="AI76" i="2"/>
  <c r="AI88" i="2"/>
  <c r="AI59" i="2"/>
  <c r="AI60" i="2"/>
  <c r="AI80" i="2"/>
  <c r="AI63" i="2"/>
  <c r="AI64" i="2"/>
  <c r="AI82" i="2"/>
  <c r="AI65" i="2"/>
  <c r="AI66" i="2"/>
  <c r="AI83" i="2"/>
  <c r="AI73" i="2"/>
  <c r="AI74" i="2"/>
  <c r="AI87" i="2"/>
  <c r="AI53" i="2"/>
  <c r="AI54" i="2"/>
  <c r="AI77" i="2"/>
  <c r="AI55" i="2"/>
  <c r="AI56" i="2"/>
  <c r="AI78" i="2"/>
  <c r="AI57" i="2"/>
  <c r="AI58" i="2"/>
  <c r="AI79" i="2"/>
  <c r="AI71" i="2"/>
  <c r="AI72" i="2"/>
  <c r="AI86" i="2"/>
  <c r="AI31" i="2"/>
  <c r="AI32" i="2"/>
  <c r="AI48" i="2"/>
  <c r="AI33" i="2"/>
  <c r="AI34" i="2"/>
  <c r="AI49" i="2"/>
  <c r="AI25" i="2"/>
  <c r="AI26" i="2"/>
  <c r="AI45" i="2"/>
  <c r="AI39" i="2"/>
  <c r="AI40" i="2"/>
  <c r="AI52" i="2"/>
  <c r="AI23" i="2"/>
  <c r="AI24" i="2"/>
  <c r="AI44" i="2"/>
  <c r="AI27" i="2"/>
  <c r="AI28" i="2"/>
  <c r="AI46" i="2"/>
  <c r="AI29" i="2"/>
  <c r="AI30" i="2"/>
  <c r="AI47" i="2"/>
  <c r="AI37" i="2"/>
  <c r="AI38" i="2"/>
  <c r="AI51" i="2"/>
  <c r="AI17" i="2"/>
  <c r="AI18" i="2"/>
  <c r="AI41" i="2"/>
  <c r="AI19" i="2"/>
  <c r="AI20" i="2"/>
  <c r="AI42" i="2"/>
  <c r="AI21" i="2"/>
  <c r="AI22" i="2"/>
  <c r="AI43" i="2"/>
  <c r="AI35" i="2"/>
  <c r="AI36" i="2"/>
  <c r="AI50" i="2"/>
  <c r="AI6" i="2"/>
  <c r="AI7" i="2"/>
  <c r="AI14" i="2"/>
  <c r="AI8" i="2"/>
  <c r="AI9" i="2"/>
  <c r="AI15" i="2"/>
  <c r="AI4" i="2"/>
  <c r="AI5" i="2"/>
  <c r="AI13" i="2"/>
  <c r="AI10" i="2"/>
  <c r="AI11" i="2"/>
  <c r="AI16" i="2"/>
  <c r="AI2" i="2"/>
  <c r="AI3" i="2"/>
  <c r="AI12" i="2"/>
  <c r="AI359" i="2"/>
  <c r="AG359" i="2"/>
  <c r="V359" i="2" l="1"/>
  <c r="Q359" i="2"/>
</calcChain>
</file>

<file path=xl/sharedStrings.xml><?xml version="1.0" encoding="utf-8"?>
<sst xmlns="http://schemas.openxmlformats.org/spreadsheetml/2006/main" count="3657" uniqueCount="266">
  <si>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</si>
  <si>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</si>
  <si>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</si>
  <si>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</si>
  <si>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</si>
  <si>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</si>
  <si>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</si>
  <si>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</si>
  <si>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</si>
  <si>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</si>
  <si>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</si>
  <si>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</si>
  <si>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</si>
  <si>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</si>
  <si>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</si>
  <si>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</si>
  <si>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</si>
  <si>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</si>
  <si>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</si>
  <si>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</si>
  <si>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</si>
  <si>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</si>
  <si>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</si>
  <si>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</si>
  <si>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</si>
  <si>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</si>
  <si>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</si>
  <si>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</si>
  <si>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</si>
  <si>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</si>
  <si>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</si>
  <si>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</si>
  <si>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</si>
  <si>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</si>
  <si>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</si>
  <si>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</si>
  <si>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</si>
  <si>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</si>
  <si>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</si>
  <si>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</si>
  <si>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</si>
  <si>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</si>
  <si>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</si>
  <si>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</si>
  <si>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</si>
  <si>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</si>
  <si>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</si>
  <si>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</si>
  <si>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</si>
  <si>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Food</t>
  </si>
  <si>
    <t>NA has been replaced with average of the particular column.</t>
  </si>
  <si>
    <t>Blue colour in the first row denotes the formula inserted, remaining others in the same row are paste special (values)</t>
  </si>
  <si>
    <t>Apparel</t>
  </si>
  <si>
    <t>Intoxicants</t>
  </si>
  <si>
    <t>Fuel</t>
  </si>
  <si>
    <t>Year-month</t>
  </si>
  <si>
    <t>Total</t>
  </si>
  <si>
    <t>Insight</t>
  </si>
  <si>
    <t>Food has the maximum contribution towards CPI.</t>
  </si>
  <si>
    <t>Products</t>
  </si>
  <si>
    <t>Inflation</t>
  </si>
  <si>
    <t>Average of all categories of all 12 months</t>
  </si>
  <si>
    <t>2023 May</t>
  </si>
  <si>
    <t>2023 March</t>
  </si>
  <si>
    <t>2023 January</t>
  </si>
  <si>
    <t>2023 February</t>
  </si>
  <si>
    <t>2023 April</t>
  </si>
  <si>
    <t>2022 September</t>
  </si>
  <si>
    <t>2022 October</t>
  </si>
  <si>
    <t>2022 November</t>
  </si>
  <si>
    <t>2022 May</t>
  </si>
  <si>
    <t>2022 March</t>
  </si>
  <si>
    <t>2022 June</t>
  </si>
  <si>
    <t>2022 July</t>
  </si>
  <si>
    <t>2022 January</t>
  </si>
  <si>
    <t>2022 February</t>
  </si>
  <si>
    <t>2022 December</t>
  </si>
  <si>
    <t>2022 August</t>
  </si>
  <si>
    <t>2022 April</t>
  </si>
  <si>
    <t>2021 September</t>
  </si>
  <si>
    <t>2021 October</t>
  </si>
  <si>
    <t>2021 November</t>
  </si>
  <si>
    <t>2021 May</t>
  </si>
  <si>
    <t>2021 March</t>
  </si>
  <si>
    <t>2021 June</t>
  </si>
  <si>
    <t>2021 July</t>
  </si>
  <si>
    <t>2021 January</t>
  </si>
  <si>
    <t>2021 February</t>
  </si>
  <si>
    <t>2021 December</t>
  </si>
  <si>
    <t>2021 August</t>
  </si>
  <si>
    <t>2021 April</t>
  </si>
  <si>
    <t>2020 September</t>
  </si>
  <si>
    <t>2020 October</t>
  </si>
  <si>
    <t>2020 November</t>
  </si>
  <si>
    <t>2020 May</t>
  </si>
  <si>
    <t>2020 March</t>
  </si>
  <si>
    <t>2020 June</t>
  </si>
  <si>
    <t>2020 July</t>
  </si>
  <si>
    <t>2020 January</t>
  </si>
  <si>
    <t>2020 February</t>
  </si>
  <si>
    <t>2020 December</t>
  </si>
  <si>
    <t>2020 August</t>
  </si>
  <si>
    <t>2020 April</t>
  </si>
  <si>
    <t>2019 September</t>
  </si>
  <si>
    <t>2019 October</t>
  </si>
  <si>
    <t>2019 November</t>
  </si>
  <si>
    <t>2019 May</t>
  </si>
  <si>
    <t>2019 March</t>
  </si>
  <si>
    <t>2019 June</t>
  </si>
  <si>
    <t>2019 July</t>
  </si>
  <si>
    <t>2019 January</t>
  </si>
  <si>
    <t>2019 February</t>
  </si>
  <si>
    <t>2019 December</t>
  </si>
  <si>
    <t>2019 August</t>
  </si>
  <si>
    <t>2018 September</t>
  </si>
  <si>
    <t>2018 October</t>
  </si>
  <si>
    <t>2018 November</t>
  </si>
  <si>
    <t>2018 May</t>
  </si>
  <si>
    <t>2018 March</t>
  </si>
  <si>
    <t>2018 June</t>
  </si>
  <si>
    <t>2018 July</t>
  </si>
  <si>
    <t>2018 January</t>
  </si>
  <si>
    <t>2018 February</t>
  </si>
  <si>
    <t>2018 December</t>
  </si>
  <si>
    <t>2018 August</t>
  </si>
  <si>
    <t>2018 April</t>
  </si>
  <si>
    <t>2017 September</t>
  </si>
  <si>
    <t>2017 October</t>
  </si>
  <si>
    <t>2017 November</t>
  </si>
  <si>
    <t>2017 May</t>
  </si>
  <si>
    <t>2017 March</t>
  </si>
  <si>
    <t>2017 June</t>
  </si>
  <si>
    <t>2017 July</t>
  </si>
  <si>
    <t>2017 January</t>
  </si>
  <si>
    <t>2017 February</t>
  </si>
  <si>
    <t>2017 December</t>
  </si>
  <si>
    <t>2017 August</t>
  </si>
  <si>
    <t>2017 April</t>
  </si>
  <si>
    <t>2016 September</t>
  </si>
  <si>
    <t>2016 October</t>
  </si>
  <si>
    <t>2016 November</t>
  </si>
  <si>
    <t>2016 May</t>
  </si>
  <si>
    <t>2016 March</t>
  </si>
  <si>
    <t>2016 June</t>
  </si>
  <si>
    <t>2016 July</t>
  </si>
  <si>
    <t>2016 January</t>
  </si>
  <si>
    <t>2016 February</t>
  </si>
  <si>
    <t>2016 December</t>
  </si>
  <si>
    <t>2016 August</t>
  </si>
  <si>
    <t>2016 April</t>
  </si>
  <si>
    <t>2015 September</t>
  </si>
  <si>
    <t>2015 October</t>
  </si>
  <si>
    <t>2015 November</t>
  </si>
  <si>
    <t>2015 May</t>
  </si>
  <si>
    <t>2015 March</t>
  </si>
  <si>
    <t>2015 June</t>
  </si>
  <si>
    <t>2015 July</t>
  </si>
  <si>
    <t>2015 January</t>
  </si>
  <si>
    <t>2015 February</t>
  </si>
  <si>
    <t>2015 December</t>
  </si>
  <si>
    <t>2015 August</t>
  </si>
  <si>
    <t>2015 April</t>
  </si>
  <si>
    <t>2014 September</t>
  </si>
  <si>
    <t>2014 October</t>
  </si>
  <si>
    <t>2014 November</t>
  </si>
  <si>
    <t>2014 May</t>
  </si>
  <si>
    <t>2014 Marcrh</t>
  </si>
  <si>
    <t>2014 March</t>
  </si>
  <si>
    <t>2014 June</t>
  </si>
  <si>
    <t>2014 July</t>
  </si>
  <si>
    <t>2014 January</t>
  </si>
  <si>
    <t>2014 February</t>
  </si>
  <si>
    <t>2014 December</t>
  </si>
  <si>
    <t>2014 August</t>
  </si>
  <si>
    <t>2014 April</t>
  </si>
  <si>
    <t>2013 September</t>
  </si>
  <si>
    <t>2013 October</t>
  </si>
  <si>
    <t xml:space="preserve">2013 November </t>
  </si>
  <si>
    <t>2013 November</t>
  </si>
  <si>
    <t>2013 May</t>
  </si>
  <si>
    <t>2013 March</t>
  </si>
  <si>
    <t>2013 June</t>
  </si>
  <si>
    <t>2013 July</t>
  </si>
  <si>
    <t>2013 January</t>
  </si>
  <si>
    <t>2013 February</t>
  </si>
  <si>
    <t>2013 December</t>
  </si>
  <si>
    <t>2013 August</t>
  </si>
  <si>
    <t>2013 April</t>
  </si>
  <si>
    <t>R Inflation</t>
  </si>
  <si>
    <t>U Inflation</t>
  </si>
  <si>
    <t>R+U Inflation</t>
  </si>
  <si>
    <t>Y-O-Y R+U broader category trend</t>
  </si>
  <si>
    <t>For Objective 3, conditional formatting is done column wise</t>
  </si>
  <si>
    <t>pre and post covid time frame should be equal</t>
  </si>
  <si>
    <t>May 2023, oct and Dec 2022, feb are the highest and lowest respectively</t>
  </si>
  <si>
    <t>Row Labels</t>
  </si>
  <si>
    <t>Grand Total</t>
  </si>
  <si>
    <t>Average of General index</t>
  </si>
  <si>
    <t>H</t>
  </si>
  <si>
    <t>F</t>
  </si>
  <si>
    <t>M</t>
  </si>
  <si>
    <t>Average of Food</t>
  </si>
  <si>
    <t>Average of Health</t>
  </si>
  <si>
    <t>Miscellaneous new</t>
  </si>
  <si>
    <t>Average of Miscellaneous new</t>
  </si>
  <si>
    <t>Crude oil price $</t>
  </si>
  <si>
    <t xml:space="preserve">Food </t>
  </si>
  <si>
    <t>Items</t>
  </si>
  <si>
    <t>Crude Oil Correl</t>
  </si>
  <si>
    <t xml:space="preserve">Crude Oil </t>
  </si>
  <si>
    <t>Impact of COVID-19 Pandemic on Inflation</t>
  </si>
  <si>
    <t xml:space="preserve">Insights </t>
  </si>
  <si>
    <t xml:space="preserve">Health </t>
  </si>
  <si>
    <t>Miscellaneous 2</t>
  </si>
  <si>
    <t>% Inflation</t>
  </si>
  <si>
    <t>Year month</t>
  </si>
  <si>
    <t>CPI</t>
  </si>
  <si>
    <t>May-2022</t>
  </si>
  <si>
    <t>June-2022</t>
  </si>
  <si>
    <t>July-2022</t>
  </si>
  <si>
    <t>August-2022</t>
  </si>
  <si>
    <t>September-2022</t>
  </si>
  <si>
    <t>October-2022</t>
  </si>
  <si>
    <t>November-2022</t>
  </si>
  <si>
    <t>December-2022</t>
  </si>
  <si>
    <t>January-2023</t>
  </si>
  <si>
    <t>February-2023</t>
  </si>
  <si>
    <t>March-2023</t>
  </si>
  <si>
    <t>April-2023</t>
  </si>
  <si>
    <t>May-2023</t>
  </si>
  <si>
    <t xml:space="preserve">December 2022 and November 2023 seeing a share decline in prices </t>
  </si>
  <si>
    <t xml:space="preserve">October 2022 and June 2022 saw highest price rise </t>
  </si>
  <si>
    <t>(All)</t>
  </si>
  <si>
    <t>Sum of Cereals and products</t>
  </si>
  <si>
    <t>Sum of Meat and fish</t>
  </si>
  <si>
    <t>Sum of Egg</t>
  </si>
  <si>
    <t>Sum of Milk and products</t>
  </si>
  <si>
    <t>Sum of Spices</t>
  </si>
  <si>
    <t>Sum of Oils and fats</t>
  </si>
  <si>
    <t>Sum of Fruits</t>
  </si>
  <si>
    <t>Sum of Vegetables</t>
  </si>
  <si>
    <t>Sum of Pulses and products</t>
  </si>
  <si>
    <t>Sum of Sugar and Confectionery</t>
  </si>
  <si>
    <t>Sum of Non-alcoholic beverages</t>
  </si>
  <si>
    <t>Sum of Prepared meals, snacks, sweets etc.</t>
  </si>
  <si>
    <t>RU</t>
  </si>
  <si>
    <t>Sum</t>
  </si>
  <si>
    <t>R</t>
  </si>
  <si>
    <t>U</t>
  </si>
  <si>
    <t xml:space="preserve">Spices are one of the biggest contributor towards inflation </t>
  </si>
  <si>
    <t xml:space="preserve">Increase in domestic and international demand </t>
  </si>
  <si>
    <t xml:space="preserve">reduced cultivated area </t>
  </si>
  <si>
    <t>Cyclone and drought Impact</t>
  </si>
  <si>
    <t>% of General index</t>
  </si>
  <si>
    <t>%</t>
  </si>
  <si>
    <t>Y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</si>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</sst>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-F800]dddd\,\ mmmm\ dd\,\ yyyy"/>
    <numFmt numFmtId="166" formatCode="0&quot;%&quot;"/>
    <numFmt numFmtId="167" formatCode="0.0%"/>
    <numFmt numFmtId="168" formatCode="0.000000"/>
    <numFmt numFmtId="169" formatCode="0.0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MT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4" borderId="0" xfId="0" applyNumberFormat="1" applyFill="1"/>
    <xf numFmtId="0" fontId="1" fillId="5" borderId="1" xfId="0" applyFont="1" applyFill="1" applyBorder="1" applyAlignment="1">
      <alignment vertical="top" wrapText="1"/>
    </xf>
    <xf numFmtId="0" fontId="1" fillId="0" borderId="0" xfId="0" applyFont="1"/>
    <xf numFmtId="0" fontId="1" fillId="3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65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6" fontId="0" fillId="0" borderId="1" xfId="0" applyNumberFormat="1" applyBorder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horizontal="right"/>
    </xf>
    <xf numFmtId="2" fontId="0" fillId="0" borderId="1" xfId="0" applyNumberFormat="1" applyBorder="1"/>
    <xf numFmtId="0" fontId="0" fillId="0" borderId="3" xfId="0" applyBorder="1"/>
    <xf numFmtId="2" fontId="0" fillId="0" borderId="3" xfId="0" applyNumberFormat="1" applyBorder="1"/>
    <xf numFmtId="0" fontId="0" fillId="0" borderId="5" xfId="0" applyBorder="1"/>
    <xf numFmtId="2" fontId="0" fillId="0" borderId="5" xfId="0" applyNumberFormat="1" applyBorder="1"/>
    <xf numFmtId="2" fontId="0" fillId="0" borderId="6" xfId="0" applyNumberFormat="1" applyBorder="1"/>
    <xf numFmtId="0" fontId="1" fillId="4" borderId="1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6" borderId="1" xfId="0" applyFont="1" applyFill="1" applyBorder="1"/>
    <xf numFmtId="165" fontId="1" fillId="6" borderId="1" xfId="0" applyNumberFormat="1" applyFont="1" applyFill="1" applyBorder="1"/>
    <xf numFmtId="0" fontId="0" fillId="0" borderId="0" xfId="0" pivotButton="1"/>
    <xf numFmtId="2" fontId="0" fillId="0" borderId="0" xfId="0" applyNumberFormat="1"/>
    <xf numFmtId="0" fontId="1" fillId="3" borderId="0" xfId="0" applyFont="1" applyFill="1"/>
    <xf numFmtId="164" fontId="1" fillId="0" borderId="0" xfId="0" applyNumberFormat="1" applyFont="1"/>
    <xf numFmtId="2" fontId="1" fillId="0" borderId="0" xfId="0" applyNumberFormat="1" applyFont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0" fillId="0" borderId="13" xfId="0" applyBorder="1"/>
    <xf numFmtId="0" fontId="0" fillId="0" borderId="14" xfId="0" applyBorder="1"/>
    <xf numFmtId="9" fontId="0" fillId="0" borderId="0" xfId="1" applyFont="1" applyBorder="1"/>
    <xf numFmtId="9" fontId="0" fillId="0" borderId="14" xfId="1" applyFont="1" applyBorder="1"/>
    <xf numFmtId="0" fontId="1" fillId="0" borderId="13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0" xfId="0" applyFont="1" applyFill="1"/>
    <xf numFmtId="10" fontId="4" fillId="0" borderId="1" xfId="1" applyNumberFormat="1" applyFont="1" applyBorder="1"/>
    <xf numFmtId="0" fontId="4" fillId="0" borderId="1" xfId="0" applyFont="1" applyBorder="1"/>
    <xf numFmtId="9" fontId="0" fillId="0" borderId="1" xfId="1" applyFont="1" applyBorder="1"/>
    <xf numFmtId="2" fontId="0" fillId="0" borderId="14" xfId="0" applyNumberFormat="1" applyBorder="1"/>
    <xf numFmtId="0" fontId="1" fillId="7" borderId="13" xfId="0" applyFont="1" applyFill="1" applyBorder="1"/>
    <xf numFmtId="0" fontId="1" fillId="7" borderId="18" xfId="0" applyFont="1" applyFill="1" applyBorder="1"/>
    <xf numFmtId="0" fontId="1" fillId="7" borderId="19" xfId="0" applyFont="1" applyFill="1" applyBorder="1"/>
    <xf numFmtId="0" fontId="1" fillId="7" borderId="20" xfId="0" applyFont="1" applyFill="1" applyBorder="1"/>
    <xf numFmtId="0" fontId="1" fillId="2" borderId="1" xfId="0" applyFont="1" applyFill="1" applyBorder="1" applyAlignment="1">
      <alignment vertical="top"/>
    </xf>
    <xf numFmtId="0" fontId="0" fillId="9" borderId="1" xfId="0" applyFill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1" fillId="11" borderId="1" xfId="0" applyFont="1" applyFill="1" applyBorder="1" applyAlignment="1">
      <alignment vertical="top"/>
    </xf>
    <xf numFmtId="0" fontId="1" fillId="11" borderId="1" xfId="0" applyFont="1" applyFill="1" applyBorder="1" applyAlignment="1">
      <alignment vertical="top" wrapText="1"/>
    </xf>
    <xf numFmtId="0" fontId="1" fillId="11" borderId="1" xfId="0" applyFont="1" applyFill="1" applyBorder="1"/>
    <xf numFmtId="0" fontId="0" fillId="6" borderId="1" xfId="0" applyFill="1" applyBorder="1"/>
    <xf numFmtId="0" fontId="0" fillId="8" borderId="1" xfId="0" applyFill="1" applyBorder="1"/>
    <xf numFmtId="167" fontId="0" fillId="0" borderId="0" xfId="1" applyNumberFormat="1" applyFont="1"/>
    <xf numFmtId="166" fontId="0" fillId="0" borderId="0" xfId="0" applyNumberFormat="1"/>
    <xf numFmtId="10" fontId="0" fillId="0" borderId="0" xfId="1" applyNumberFormat="1" applyFont="1"/>
    <xf numFmtId="0" fontId="3" fillId="12" borderId="10" xfId="0" applyFont="1" applyFill="1" applyBorder="1"/>
    <xf numFmtId="10" fontId="3" fillId="12" borderId="12" xfId="1" applyNumberFormat="1" applyFont="1" applyFill="1" applyBorder="1"/>
    <xf numFmtId="0" fontId="3" fillId="0" borderId="13" xfId="0" applyFont="1" applyBorder="1"/>
    <xf numFmtId="10" fontId="0" fillId="0" borderId="14" xfId="1" applyNumberFormat="1" applyFont="1" applyBorder="1"/>
    <xf numFmtId="0" fontId="3" fillId="0" borderId="15" xfId="0" applyFont="1" applyBorder="1"/>
    <xf numFmtId="10" fontId="0" fillId="0" borderId="17" xfId="1" applyNumberFormat="1" applyFont="1" applyBorder="1"/>
    <xf numFmtId="168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169" fontId="0" fillId="0" borderId="7" xfId="1" applyNumberFormat="1" applyFont="1" applyBorder="1"/>
    <xf numFmtId="169" fontId="0" fillId="0" borderId="8" xfId="1" applyNumberFormat="1" applyFont="1" applyBorder="1"/>
    <xf numFmtId="169" fontId="0" fillId="0" borderId="9" xfId="1" applyNumberFormat="1" applyFont="1" applyBorder="1"/>
    <xf numFmtId="0" fontId="3" fillId="12" borderId="0" xfId="0" applyFont="1" applyFill="1" applyAlignment="1">
      <alignment horizontal="center"/>
    </xf>
    <xf numFmtId="0" fontId="3" fillId="10" borderId="21" xfId="0" applyFont="1" applyFill="1" applyBorder="1"/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3" fillId="7" borderId="0" xfId="0" applyFont="1" applyFill="1" applyAlignment="1">
      <alignment horizontal="left"/>
    </xf>
    <xf numFmtId="0" fontId="3" fillId="12" borderId="0" xfId="0" applyFont="1" applyFill="1"/>
    <xf numFmtId="10" fontId="0" fillId="0" borderId="0" xfId="0" applyNumberFormat="1"/>
    <xf numFmtId="0" fontId="3" fillId="0" borderId="22" xfId="0" applyFont="1" applyBorder="1"/>
    <xf numFmtId="0" fontId="3" fillId="7" borderId="0" xfId="0" applyFont="1" applyFill="1"/>
    <xf numFmtId="0" fontId="3" fillId="0" borderId="10" xfId="0" applyFont="1" applyBorder="1"/>
    <xf numFmtId="10" fontId="0" fillId="0" borderId="12" xfId="1" applyNumberFormat="1" applyFont="1" applyBorder="1"/>
    <xf numFmtId="10" fontId="0" fillId="0" borderId="11" xfId="1" applyNumberFormat="1" applyFont="1" applyBorder="1"/>
    <xf numFmtId="10" fontId="0" fillId="0" borderId="0" xfId="1" applyNumberFormat="1" applyFont="1" applyBorder="1"/>
    <xf numFmtId="10" fontId="0" fillId="0" borderId="16" xfId="1" applyNumberFormat="1" applyFont="1" applyBorder="1"/>
    <xf numFmtId="0" fontId="6" fillId="0" borderId="10" xfId="0" applyFont="1" applyBorder="1"/>
    <xf numFmtId="0" fontId="0" fillId="0" borderId="11" xfId="0" applyBorder="1"/>
    <xf numFmtId="0" fontId="0" fillId="0" borderId="12" xfId="0" applyBorder="1"/>
    <xf numFmtId="0" fontId="3" fillId="13" borderId="0" xfId="0" applyFont="1" applyFill="1"/>
    <xf numFmtId="0" fontId="0" fillId="7" borderId="0" xfId="0" applyFill="1"/>
    <xf numFmtId="0" fontId="0" fillId="0" borderId="23" xfId="0" applyBorder="1" applyAlignment="1">
      <alignment horizontal="center"/>
    </xf>
    <xf numFmtId="0" fontId="0" fillId="14" borderId="23" xfId="0" applyFill="1" applyBorder="1" applyAlignment="1">
      <alignment horizontal="center"/>
    </xf>
    <xf numFmtId="2" fontId="0" fillId="0" borderId="0" xfId="0" applyNumberFormat="1" applyAlignment="1">
      <alignment horizontal="left"/>
    </xf>
    <xf numFmtId="0" fontId="1" fillId="10" borderId="2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8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numFmt numFmtId="2" formatCode="0.00"/>
    </dxf>
    <dxf>
      <numFmt numFmtId="168" formatCode="0.0000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'Objective 1'!$P$11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48-48BA-A1D9-A5D21381AE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48-48BA-A1D9-A5D21381AE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48-48BA-A1D9-A5D21381AE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48-48BA-A1D9-A5D21381AE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48-48BA-A1D9-A5D21381AE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448-48BA-A1D9-A5D21381AE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448-48BA-A1D9-A5D21381AE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448-48BA-A1D9-A5D21381AE6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448-48BA-A1D9-A5D21381AE6D}"/>
                </c:ext>
              </c:extLst>
            </c:dLbl>
            <c:dLbl>
              <c:idx val="1"/>
              <c:layout>
                <c:manualLayout>
                  <c:x val="2.1428072436970581E-2"/>
                  <c:y val="-9.72526270237715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155695354514252"/>
                      <c:h val="6.30316710411198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448-48BA-A1D9-A5D21381AE6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48-48BA-A1D9-A5D21381AE6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448-48BA-A1D9-A5D21381AE6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5448-48BA-A1D9-A5D21381AE6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5448-48BA-A1D9-A5D21381AE6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5448-48BA-A1D9-A5D21381AE6D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5448-48BA-A1D9-A5D21381AE6D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'Objective 1'!$Q$10:$X$10</c:f>
              <c:strCache>
                <c:ptCount val="8"/>
                <c:pt idx="0">
                  <c:v>Food</c:v>
                </c:pt>
                <c:pt idx="1">
                  <c:v>Intoxicants</c:v>
                </c:pt>
                <c:pt idx="2">
                  <c:v>Apparel</c:v>
                </c:pt>
                <c:pt idx="3">
                  <c:v>Housing</c:v>
                </c:pt>
                <c:pt idx="4">
                  <c:v>Fuel and light</c:v>
                </c:pt>
                <c:pt idx="5">
                  <c:v>Health</c:v>
                </c:pt>
                <c:pt idx="6">
                  <c:v>Education</c:v>
                </c:pt>
                <c:pt idx="7">
                  <c:v>Miscellaneous</c:v>
                </c:pt>
              </c:strCache>
            </c:strRef>
          </c:cat>
          <c:val>
            <c:numRef>
              <c:f>'Objective 1'!$Q$11:$X$11</c:f>
              <c:numCache>
                <c:formatCode>0"%"</c:formatCode>
                <c:ptCount val="8"/>
                <c:pt idx="0">
                  <c:v>49.563853557923693</c:v>
                </c:pt>
                <c:pt idx="1">
                  <c:v>4.3184943279477483</c:v>
                </c:pt>
                <c:pt idx="2">
                  <c:v>11.885527672739775</c:v>
                </c:pt>
                <c:pt idx="3">
                  <c:v>3.7727741491921623</c:v>
                </c:pt>
                <c:pt idx="4">
                  <c:v>3.9274664833276045</c:v>
                </c:pt>
                <c:pt idx="5">
                  <c:v>3.9897731179099347</c:v>
                </c:pt>
                <c:pt idx="6">
                  <c:v>3.8050017188037124</c:v>
                </c:pt>
                <c:pt idx="7">
                  <c:v>18.737108972155379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448-48BA-A1D9-A5D21381AE6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>
      <a:glow rad="1397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Y-O-Y trend for general index (R+U)</a:t>
            </a:r>
          </a:p>
        </c:rich>
      </c:tx>
      <c:layout>
        <c:manualLayout>
          <c:xMode val="edge"/>
          <c:yMode val="edge"/>
          <c:x val="0.30258804395941907"/>
          <c:y val="5.38208824348423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20603674540682"/>
          <c:y val="0.19226851851851851"/>
          <c:w val="0.86601618547681536"/>
          <c:h val="0.60368802857976089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'Objective 2.1'!$C$46:$C$52</c:f>
              <c:numCache>
                <c:formatCode>0.00%</c:formatCode>
                <c:ptCount val="7"/>
                <c:pt idx="0">
                  <c:v>3.8644785600847067E-2</c:v>
                </c:pt>
                <c:pt idx="1">
                  <c:v>4.2813455657492311E-2</c:v>
                </c:pt>
                <c:pt idx="2">
                  <c:v>2.9081133919843401E-2</c:v>
                </c:pt>
                <c:pt idx="3">
                  <c:v>5.8418427926858356E-2</c:v>
                </c:pt>
                <c:pt idx="4">
                  <c:v>5.5418442898810961E-2</c:v>
                </c:pt>
                <c:pt idx="5">
                  <c:v>6.9090136054421644E-2</c:v>
                </c:pt>
                <c:pt idx="6">
                  <c:v>5.6870153111950678E-2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8-44A6-91D3-E80AC4A73A95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'Objective 2.1'!$D$46:$D$52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8-44A6-91D3-E80AC4A73A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7075215"/>
        <c:axId val="707072815"/>
      </c:lineChart>
      <c:catAx>
        <c:axId val="7070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2815"/>
        <c:crosses val="autoZero"/>
        <c:auto val="1"/>
        <c:lblAlgn val="ctr"/>
        <c:lblOffset val="100"/>
        <c:noMultiLvlLbl val="0"/>
      </c:catAx>
      <c:valAx>
        <c:axId val="7070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glow rad="1397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u="sng"/>
              <a:t>Inflation</a:t>
            </a:r>
            <a:r>
              <a:rPr lang="en-IN" u="sng" baseline="0"/>
              <a:t> trend</a:t>
            </a:r>
          </a:p>
        </c:rich>
      </c:tx>
      <c:layout>
        <c:manualLayout>
          <c:xMode val="edge"/>
          <c:yMode val="edge"/>
          <c:x val="6.5577984781080081E-2"/>
          <c:y val="3.4364261168384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Food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4.1'!$A$63:$A$67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4.1'!$E$63:$E$67</c:f>
              <c:numCache>
                <c:formatCode>0%</c:formatCode>
                <c:ptCount val="5"/>
                <c:pt idx="0">
                  <c:v>9.2828381588351723E-3</c:v>
                </c:pt>
                <c:pt idx="1">
                  <c:v>3.7269280259318013E-2</c:v>
                </c:pt>
                <c:pt idx="2">
                  <c:v>7.7278523067109098E-2</c:v>
                </c:pt>
                <c:pt idx="3">
                  <c:v>7.4064786319943648E-2</c:v>
                </c:pt>
                <c:pt idx="4">
                  <c:v>5.8045391336426506E-2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7-4B27-AA9C-7DFCECC9447A}"/>
            </c:ext>
          </c:extLst>
        </c:ser>
        <c:ser>
          <c:idx val="1"/>
          <c:order val="1"/>
          <c:tx>
            <c:v>Health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4.1'!$A$63:$A$67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4.1'!$F$63:$F$67</c:f>
              <c:numCache>
                <c:formatCode>0%</c:formatCode>
                <c:ptCount val="5"/>
                <c:pt idx="0">
                  <c:v>6.2561937179542837E-2</c:v>
                </c:pt>
                <c:pt idx="1">
                  <c:v>7.2396238447898789E-2</c:v>
                </c:pt>
                <c:pt idx="2">
                  <c:v>3.6083840362998734E-2</c:v>
                </c:pt>
                <c:pt idx="3">
                  <c:v>8.4791784136507897E-2</c:v>
                </c:pt>
                <c:pt idx="4">
                  <c:v>6.1886018032566034E-2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7-4B27-AA9C-7DFCECC9447A}"/>
            </c:ext>
          </c:extLst>
        </c:ser>
        <c:ser>
          <c:idx val="2"/>
          <c:order val="2"/>
          <c:tx>
            <c:v>Miscellaneous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4.1'!$A$63:$A$67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4.1'!$G$63:$G$67</c:f>
              <c:numCache>
                <c:formatCode>0%</c:formatCode>
                <c:ptCount val="5"/>
                <c:pt idx="0">
                  <c:v>5.0561598381745024E-2</c:v>
                </c:pt>
                <c:pt idx="1">
                  <c:v>4.3154813315184379E-2</c:v>
                </c:pt>
                <c:pt idx="2">
                  <c:v>4.7829187623366604E-2</c:v>
                </c:pt>
                <c:pt idx="3">
                  <c:v>8.1814957919696174E-2</c:v>
                </c:pt>
                <c:pt idx="4">
                  <c:v>6.8197156844890527E-2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7-4B27-AA9C-7DFCECC944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3388096"/>
        <c:axId val="1483369856"/>
      </c:barChart>
      <c:catAx>
        <c:axId val="148338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69856"/>
        <c:crosses val="autoZero"/>
        <c:auto val="1"/>
        <c:lblAlgn val="ctr"/>
        <c:lblOffset val="100"/>
        <c:noMultiLvlLbl val="0"/>
      </c:catAx>
      <c:valAx>
        <c:axId val="148336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8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glow rad="1397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aseline="0"/>
              <a:t>Average cost per year </a:t>
            </a:r>
            <a:endParaRPr lang="en-IN"/>
          </a:p>
        </c:rich>
      </c:tx>
      <c:layout>
        <c:manualLayout>
          <c:xMode val="edge"/>
          <c:yMode val="edge"/>
          <c:x val="0.2643401137357830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4.1'!$S$6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'Objective 4.1'!$R$7:$R$11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4.1'!$S$7:$S$11</c:f>
              <c:numCache>
                <c:formatCode>0.00</c:formatCode>
                <c:ptCount val="5"/>
                <c:pt idx="0">
                  <c:v>1769.2083333333335</c:v>
                </c:pt>
                <c:pt idx="1">
                  <c:v>1835.1454545454544</c:v>
                </c:pt>
                <c:pt idx="2">
                  <c:v>1976.9627848860457</c:v>
                </c:pt>
                <c:pt idx="3">
                  <c:v>2123.3861111111114</c:v>
                </c:pt>
                <c:pt idx="4">
                  <c:v>2246.6388888888887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F-4E68-A21A-87830D1C6CDC}"/>
            </c:ext>
          </c:extLst>
        </c:ser>
        <c:ser>
          <c:idx val="1"/>
          <c:order val="1"/>
          <c:tx>
            <c:strRef>
              <c:f>'Objective 4.1'!$T$6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'Objective 4.1'!$R$7:$R$11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4.1'!$T$7:$T$11</c:f>
              <c:numCache>
                <c:formatCode>0.00</c:formatCode>
                <c:ptCount val="5"/>
                <c:pt idx="0">
                  <c:v>137.00555555555553</c:v>
                </c:pt>
                <c:pt idx="1">
                  <c:v>146.92424242424244</c:v>
                </c:pt>
                <c:pt idx="2">
                  <c:v>152.22583333333333</c:v>
                </c:pt>
                <c:pt idx="3">
                  <c:v>165.13333333333335</c:v>
                </c:pt>
                <c:pt idx="4">
                  <c:v>175.35277777777776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F-4E68-A21A-87830D1C6CDC}"/>
            </c:ext>
          </c:extLst>
        </c:ser>
        <c:ser>
          <c:idx val="2"/>
          <c:order val="2"/>
          <c:tx>
            <c:strRef>
              <c:f>'Objective 4.1'!$U$6</c:f>
              <c:strCache>
                <c:ptCount val="1"/>
                <c:pt idx="0">
                  <c:v>Miscellaneous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'Objective 4.1'!$R$7:$R$11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4.1'!$U$7:$U$11</c:f>
              <c:numCache>
                <c:formatCode>0.00</c:formatCode>
                <c:ptCount val="5"/>
                <c:pt idx="0">
                  <c:v>657.84999999999991</c:v>
                </c:pt>
                <c:pt idx="1">
                  <c:v>686.23939393939395</c:v>
                </c:pt>
                <c:pt idx="2">
                  <c:v>719.06166666666661</c:v>
                </c:pt>
                <c:pt idx="3">
                  <c:v>777.89166666666654</c:v>
                </c:pt>
                <c:pt idx="4">
                  <c:v>830.94166666666649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3F-4E68-A21A-87830D1C6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659840"/>
        <c:axId val="112659360"/>
      </c:barChart>
      <c:catAx>
        <c:axId val="1126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9360"/>
        <c:crosses val="autoZero"/>
        <c:auto val="1"/>
        <c:lblAlgn val="ctr"/>
        <c:lblOffset val="100"/>
        <c:noMultiLvlLbl val="0"/>
      </c:catAx>
      <c:valAx>
        <c:axId val="1126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9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glow rad="1397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'Objective 5'!$D$36</c:f>
              <c:strCache>
                <c:ptCount val="1"/>
                <c:pt idx="0">
                  <c:v>Crude Oil 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'Objective 5'!$B$37:$B$63</c:f>
              <c:strCache>
                <c:ptCount val="27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  <c:pt idx="26">
                  <c:v>General index</c:v>
                </c:pt>
              </c:strCache>
            </c:strRef>
          </c:xVal>
          <c:yVal>
            <c:numRef>
              <c:f>'Objective 5'!$D$37:$D$63</c:f>
              <c:numCache>
                <c:formatCode>0%</c:formatCode>
                <c:ptCount val="27"/>
                <c:pt idx="0">
                  <c:v>0.30771625684579207</c:v>
                </c:pt>
                <c:pt idx="1">
                  <c:v>0.75224664271736941</c:v>
                </c:pt>
                <c:pt idx="2">
                  <c:v>-0.15391219835886533</c:v>
                </c:pt>
                <c:pt idx="3">
                  <c:v>0.40274655994536601</c:v>
                </c:pt>
                <c:pt idx="4">
                  <c:v>0.77089018754813043</c:v>
                </c:pt>
                <c:pt idx="5">
                  <c:v>0.50273515955600057</c:v>
                </c:pt>
                <c:pt idx="6">
                  <c:v>0.33307762107432071</c:v>
                </c:pt>
                <c:pt idx="7">
                  <c:v>0.20210475794724725</c:v>
                </c:pt>
                <c:pt idx="8">
                  <c:v>0.5303480670017523</c:v>
                </c:pt>
                <c:pt idx="9">
                  <c:v>0.38749503725044177</c:v>
                </c:pt>
                <c:pt idx="10">
                  <c:v>0.5719871020653724</c:v>
                </c:pt>
                <c:pt idx="11">
                  <c:v>0.5203667625412054</c:v>
                </c:pt>
                <c:pt idx="12">
                  <c:v>0.60618262763499764</c:v>
                </c:pt>
                <c:pt idx="13">
                  <c:v>0.41734986278547148</c:v>
                </c:pt>
                <c:pt idx="14">
                  <c:v>0.55686493185592656</c:v>
                </c:pt>
                <c:pt idx="15">
                  <c:v>0.58432333190944719</c:v>
                </c:pt>
                <c:pt idx="16">
                  <c:v>0.56138730489788657</c:v>
                </c:pt>
                <c:pt idx="17">
                  <c:v>0.46611109700609699</c:v>
                </c:pt>
                <c:pt idx="18">
                  <c:v>0.60489734829911701</c:v>
                </c:pt>
                <c:pt idx="19">
                  <c:v>0.54190745141752861</c:v>
                </c:pt>
                <c:pt idx="20">
                  <c:v>0.50592189335027693</c:v>
                </c:pt>
                <c:pt idx="21">
                  <c:v>0.68998927936443621</c:v>
                </c:pt>
                <c:pt idx="22">
                  <c:v>0.62329058671897064</c:v>
                </c:pt>
                <c:pt idx="23">
                  <c:v>0.47682177363862294</c:v>
                </c:pt>
                <c:pt idx="24">
                  <c:v>0.44425767847916869</c:v>
                </c:pt>
                <c:pt idx="25">
                  <c:v>0.56746216042913178</c:v>
                </c:pt>
                <c:pt idx="26">
                  <c:v>0.5872510998192717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B-4777-BFE4-AF30CB73A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70367"/>
        <c:axId val="812672287"/>
      </c:scatterChart>
      <c:valAx>
        <c:axId val="81267036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72287"/>
        <c:crosses val="autoZero"/>
        <c:crossBetween val="midCat"/>
      </c:valAx>
      <c:valAx>
        <c:axId val="8126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7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 rad="139700">
        <a:schemeClr val="accent3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1F-4A73-96D5-7B055227376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1F-4A73-96D5-7B055227376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1F-4A73-96D5-7B055227376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E1F-4A73-96D5-7B055227376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E1F-4A73-96D5-7B055227376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E1F-4A73-96D5-7B055227376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E1F-4A73-96D5-7B055227376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E1F-4A73-96D5-7B05522737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'Objective 1'!$D$11:$K$11</c:f>
              <c:numCache>
                <c:formatCode>0"%"</c:formatCode>
                <c:ptCount val="8"/>
                <c:pt idx="0">
                  <c:v>49.021999657592879</c:v>
                </c:pt>
                <c:pt idx="1">
                  <c:v>4.2779489813388114</c:v>
                </c:pt>
                <c:pt idx="2">
                  <c:v>12.196113679164526</c:v>
                </c:pt>
                <c:pt idx="3">
                  <c:v>3.7236774524910108</c:v>
                </c:pt>
                <c:pt idx="4">
                  <c:v>3.9055812360897098</c:v>
                </c:pt>
                <c:pt idx="5">
                  <c:v>4.0190035952747811</c:v>
                </c:pt>
                <c:pt idx="6">
                  <c:v>3.8585002568053408</c:v>
                </c:pt>
                <c:pt idx="7">
                  <c:v>18.997175141242931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D-4AD0-BFE5-09068762273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A8-4AF9-A553-4B529C1415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A8-4AF9-A553-4B529C1415E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A8-4AF9-A553-4B529C1415E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A8-4AF9-A553-4B529C1415E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A8-4AF9-A553-4B529C1415E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A8-4AF9-A553-4B529C1415E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3A8-4AF9-A553-4B529C1415E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3A8-4AF9-A553-4B529C1415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'Objective 1'!$D$12:$K$12</c:f>
              <c:numCache>
                <c:formatCode>0"%"</c:formatCode>
                <c:ptCount val="8"/>
                <c:pt idx="0">
                  <c:v>50.315671529229242</c:v>
                </c:pt>
                <c:pt idx="1">
                  <c:v>4.4000086190178633</c:v>
                </c:pt>
                <c:pt idx="2">
                  <c:v>11.39218686030727</c:v>
                </c:pt>
                <c:pt idx="3">
                  <c:v>3.7837488418194747</c:v>
                </c:pt>
                <c:pt idx="4">
                  <c:v>3.9518196901463085</c:v>
                </c:pt>
                <c:pt idx="5">
                  <c:v>3.9259626365575646</c:v>
                </c:pt>
                <c:pt idx="6">
                  <c:v>3.7665108060936459</c:v>
                </c:pt>
                <c:pt idx="7">
                  <c:v>18.464091016828633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C-48C3-B283-26B5481F6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Rural+Urban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EF-4B75-9E1A-2E6362BD83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EF-4B75-9E1A-2E6362BD83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EF-4B75-9E1A-2E6362BD837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EF-4B75-9E1A-2E6362BD837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7EF-4B75-9E1A-2E6362BD837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7EF-4B75-9E1A-2E6362BD837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7EF-4B75-9E1A-2E6362BD837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7EF-4B75-9E1A-2E6362BD83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'Objective 1'!$D$13:$K$13</c:f>
              <c:numCache>
                <c:formatCode>0"%"</c:formatCode>
                <c:ptCount val="8"/>
                <c:pt idx="0">
                  <c:v>49.563853557923693</c:v>
                </c:pt>
                <c:pt idx="1">
                  <c:v>4.3184943279477483</c:v>
                </c:pt>
                <c:pt idx="2">
                  <c:v>11.885527672739775</c:v>
                </c:pt>
                <c:pt idx="3">
                  <c:v>3.7727741491921623</c:v>
                </c:pt>
                <c:pt idx="4">
                  <c:v>3.9274664833276045</c:v>
                </c:pt>
                <c:pt idx="5">
                  <c:v>3.9897731179099347</c:v>
                </c:pt>
                <c:pt idx="6">
                  <c:v>3.8050017188037124</c:v>
                </c:pt>
                <c:pt idx="7">
                  <c:v>18.737108972155379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D-4532-A8AD-547E7FC4A8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'Objective 1'!$P$11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C1-4B51-8BF3-E958D2C70D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C1-4B51-8BF3-E958D2C70D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63-4B77-B2D0-ECACF953F19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C1-4B51-8BF3-E958D2C70D3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C1-4B51-8BF3-E958D2C70D3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9C1-4B51-8BF3-E958D2C70D3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9C1-4B51-8BF3-E958D2C70D3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9C1-4B51-8BF3-E958D2C70D3E}"/>
              </c:ext>
            </c:extLst>
          </c:dPt>
          <c:dLbls>
            <c:dLbl>
              <c:idx val="2"/>
              <c:layout>
                <c:manualLayout>
                  <c:x val="2.0222769028871389E-2"/>
                  <c:y val="-2.442403032954214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63-4B77-B2D0-ECACF953F1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'Objective 1'!$Q$10:$X$10</c:f>
              <c:strCache>
                <c:ptCount val="8"/>
                <c:pt idx="0">
                  <c:v>Food</c:v>
                </c:pt>
                <c:pt idx="1">
                  <c:v>Intoxicants</c:v>
                </c:pt>
                <c:pt idx="2">
                  <c:v>Apparel</c:v>
                </c:pt>
                <c:pt idx="3">
                  <c:v>Housing</c:v>
                </c:pt>
                <c:pt idx="4">
                  <c:v>Fuel and light</c:v>
                </c:pt>
                <c:pt idx="5">
                  <c:v>Health</c:v>
                </c:pt>
                <c:pt idx="6">
                  <c:v>Education</c:v>
                </c:pt>
                <c:pt idx="7">
                  <c:v>Miscellaneous</c:v>
                </c:pt>
              </c:strCache>
            </c:strRef>
          </c:cat>
          <c:val>
            <c:numRef>
              <c:f>'Objective 1'!$Q$11:$X$11</c:f>
              <c:numCache>
                <c:formatCode>0"%"</c:formatCode>
                <c:ptCount val="8"/>
                <c:pt idx="0">
                  <c:v>49.563853557923693</c:v>
                </c:pt>
                <c:pt idx="1">
                  <c:v>4.3184943279477483</c:v>
                </c:pt>
                <c:pt idx="2">
                  <c:v>11.885527672739775</c:v>
                </c:pt>
                <c:pt idx="3">
                  <c:v>3.7727741491921623</c:v>
                </c:pt>
                <c:pt idx="4">
                  <c:v>3.9274664833276045</c:v>
                </c:pt>
                <c:pt idx="5">
                  <c:v>3.9897731179099347</c:v>
                </c:pt>
                <c:pt idx="6">
                  <c:v>3.8050017188037124</c:v>
                </c:pt>
                <c:pt idx="7">
                  <c:v>18.737108972155379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3-4B77-B2D0-ECACF953F1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'Objective 1'!$P$11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38-43CB-942B-9A1B0A7A59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38-43CB-942B-9A1B0A7A59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038-43CB-942B-9A1B0A7A59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38-43CB-942B-9A1B0A7A59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038-43CB-942B-9A1B0A7A59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038-43CB-942B-9A1B0A7A59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038-43CB-942B-9A1B0A7A59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038-43CB-942B-9A1B0A7A593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038-43CB-942B-9A1B0A7A5931}"/>
                </c:ext>
              </c:extLst>
            </c:dLbl>
            <c:dLbl>
              <c:idx val="1"/>
              <c:layout>
                <c:manualLayout>
                  <c:x val="2.1428072436970581E-2"/>
                  <c:y val="-9.725262702377153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155695354514252"/>
                      <c:h val="6.30316710411198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038-43CB-942B-9A1B0A7A593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038-43CB-942B-9A1B0A7A593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038-43CB-942B-9A1B0A7A593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038-43CB-942B-9A1B0A7A593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038-43CB-942B-9A1B0A7A593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038-43CB-942B-9A1B0A7A593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F038-43CB-942B-9A1B0A7A593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'Objective 1'!$Q$10:$X$10</c:f>
              <c:strCache>
                <c:ptCount val="8"/>
                <c:pt idx="0">
                  <c:v>Food</c:v>
                </c:pt>
                <c:pt idx="1">
                  <c:v>Intoxicants</c:v>
                </c:pt>
                <c:pt idx="2">
                  <c:v>Apparel</c:v>
                </c:pt>
                <c:pt idx="3">
                  <c:v>Housing</c:v>
                </c:pt>
                <c:pt idx="4">
                  <c:v>Fuel and light</c:v>
                </c:pt>
                <c:pt idx="5">
                  <c:v>Health</c:v>
                </c:pt>
                <c:pt idx="6">
                  <c:v>Education</c:v>
                </c:pt>
                <c:pt idx="7">
                  <c:v>Miscellaneous</c:v>
                </c:pt>
              </c:strCache>
            </c:strRef>
          </c:cat>
          <c:val>
            <c:numRef>
              <c:f>'Objective 1'!$Q$11:$X$11</c:f>
              <c:numCache>
                <c:formatCode>0"%"</c:formatCode>
                <c:ptCount val="8"/>
                <c:pt idx="0">
                  <c:v>49.563853557923693</c:v>
                </c:pt>
                <c:pt idx="1">
                  <c:v>4.3184943279477483</c:v>
                </c:pt>
                <c:pt idx="2">
                  <c:v>11.885527672739775</c:v>
                </c:pt>
                <c:pt idx="3">
                  <c:v>3.7727741491921623</c:v>
                </c:pt>
                <c:pt idx="4">
                  <c:v>3.9274664833276045</c:v>
                </c:pt>
                <c:pt idx="5">
                  <c:v>3.9897731179099347</c:v>
                </c:pt>
                <c:pt idx="6">
                  <c:v>3.8050017188037124</c:v>
                </c:pt>
                <c:pt idx="7">
                  <c:v>18.737108972155379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3CB-942B-9A1B0A7A593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1'!$C$54</c:f>
              <c:strCache>
                <c:ptCount val="1"/>
                <c:pt idx="0">
                  <c:v>Rural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'Objective 1'!$D$53:$K$53</c:f>
              <c:strCache>
                <c:ptCount val="8"/>
                <c:pt idx="0">
                  <c:v>Food</c:v>
                </c:pt>
                <c:pt idx="1">
                  <c:v>Pan, tobacco and intoxicants</c:v>
                </c:pt>
                <c:pt idx="2">
                  <c:v>Apparel</c:v>
                </c:pt>
                <c:pt idx="3">
                  <c:v>Housing</c:v>
                </c:pt>
                <c:pt idx="4">
                  <c:v>Fuel and light</c:v>
                </c:pt>
                <c:pt idx="5">
                  <c:v>Health</c:v>
                </c:pt>
                <c:pt idx="6">
                  <c:v>Education</c:v>
                </c:pt>
                <c:pt idx="7">
                  <c:v>Miscellaneous</c:v>
                </c:pt>
              </c:strCache>
            </c:strRef>
          </c:cat>
          <c:val>
            <c:numRef>
              <c:f>'Objective 1'!$D$54:$K$54</c:f>
              <c:numCache>
                <c:formatCode>0"%"</c:formatCode>
                <c:ptCount val="8"/>
                <c:pt idx="0">
                  <c:v>49.0219996575929</c:v>
                </c:pt>
                <c:pt idx="1">
                  <c:v>4.2779489813388114</c:v>
                </c:pt>
                <c:pt idx="2">
                  <c:v>12.196113679164526</c:v>
                </c:pt>
                <c:pt idx="3">
                  <c:v>3.7236774524910108</c:v>
                </c:pt>
                <c:pt idx="4">
                  <c:v>3.9055812360897098</c:v>
                </c:pt>
                <c:pt idx="5">
                  <c:v>4.0190035952747811</c:v>
                </c:pt>
                <c:pt idx="6">
                  <c:v>3.8585002568053408</c:v>
                </c:pt>
                <c:pt idx="7">
                  <c:v>18.997175141242931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FF-4E84-BA1E-4E9A453228C5}"/>
            </c:ext>
          </c:extLst>
        </c:ser>
        <c:ser>
          <c:idx val="1"/>
          <c:order val="1"/>
          <c:tx>
            <c:strRef>
              <c:f>'Objective 1'!$C$55</c:f>
              <c:strCache>
                <c:ptCount val="1"/>
                <c:pt idx="0">
                  <c:v>Urban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'Objective 1'!$D$53:$K$53</c:f>
              <c:strCache>
                <c:ptCount val="8"/>
                <c:pt idx="0">
                  <c:v>Food</c:v>
                </c:pt>
                <c:pt idx="1">
                  <c:v>Pan, tobacco and intoxicants</c:v>
                </c:pt>
                <c:pt idx="2">
                  <c:v>Apparel</c:v>
                </c:pt>
                <c:pt idx="3">
                  <c:v>Housing</c:v>
                </c:pt>
                <c:pt idx="4">
                  <c:v>Fuel and light</c:v>
                </c:pt>
                <c:pt idx="5">
                  <c:v>Health</c:v>
                </c:pt>
                <c:pt idx="6">
                  <c:v>Education</c:v>
                </c:pt>
                <c:pt idx="7">
                  <c:v>Miscellaneous</c:v>
                </c:pt>
              </c:strCache>
            </c:strRef>
          </c:cat>
          <c:val>
            <c:numRef>
              <c:f>'Objective 1'!$D$55:$K$55</c:f>
              <c:numCache>
                <c:formatCode>0"%"</c:formatCode>
                <c:ptCount val="8"/>
                <c:pt idx="0">
                  <c:v>50.315671529229242</c:v>
                </c:pt>
                <c:pt idx="1">
                  <c:v>4.4000086190178633</c:v>
                </c:pt>
                <c:pt idx="2">
                  <c:v>11.39218686030727</c:v>
                </c:pt>
                <c:pt idx="3">
                  <c:v>3.7837488418194747</c:v>
                </c:pt>
                <c:pt idx="4">
                  <c:v>3.9518196901463085</c:v>
                </c:pt>
                <c:pt idx="5">
                  <c:v>3.9259626365575646</c:v>
                </c:pt>
                <c:pt idx="6">
                  <c:v>3.7665108060936459</c:v>
                </c:pt>
                <c:pt idx="7">
                  <c:v>18.464091016828633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F-4E84-BA1E-4E9A453228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99916751"/>
        <c:axId val="1499907631"/>
      </c:barChart>
      <c:catAx>
        <c:axId val="149991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907631"/>
        <c:crosses val="autoZero"/>
        <c:auto val="1"/>
        <c:lblAlgn val="ctr"/>
        <c:lblOffset val="100"/>
        <c:noMultiLvlLbl val="0"/>
      </c:catAx>
      <c:valAx>
        <c:axId val="149990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91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'Objective 2'!$D$6</c:f>
              <c:strCache>
                <c:ptCount val="1"/>
                <c:pt idx="0">
                  <c:v>Inflation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2'!$B$7:$B$14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'Objective 2'!$D$7:$D$14</c:f>
              <c:numCache>
                <c:formatCode>0%</c:formatCode>
                <c:ptCount val="8"/>
                <c:pt idx="1">
                  <c:v>3.1368102796674048E-2</c:v>
                </c:pt>
                <c:pt idx="2">
                  <c:v>3.774276291681939E-2</c:v>
                </c:pt>
                <c:pt idx="3">
                  <c:v>3.5663841807909685E-2</c:v>
                </c:pt>
                <c:pt idx="4">
                  <c:v>5.2846914422093418E-2</c:v>
                </c:pt>
                <c:pt idx="5">
                  <c:v>4.1450777202072575E-2</c:v>
                </c:pt>
                <c:pt idx="6">
                  <c:v>9.7947761194029842E-2</c:v>
                </c:pt>
                <c:pt idx="7">
                  <c:v>3.4551118663268161E-2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1-4832-AAFC-F22D783567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0242303"/>
        <c:axId val="111520351"/>
      </c:lineChart>
      <c:catAx>
        <c:axId val="103024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0351"/>
        <c:crosses val="autoZero"/>
        <c:auto val="1"/>
        <c:lblAlgn val="ctr"/>
        <c:lblOffset val="100"/>
        <c:noMultiLvlLbl val="0"/>
      </c:catAx>
      <c:valAx>
        <c:axId val="1115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242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Y-O-Y</a:t>
            </a:r>
            <a:r>
              <a:rPr lang="en-IN" baseline="0"/>
              <a:t> trend for general index (R+U)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'Objective 2.1'!$C$4:$C$14</c:f>
              <c:numCache>
                <c:formatCode>General</c:formatCode>
                <c:ptCount val="11"/>
                <c:pt idx="0">
                  <c:v>110.1542857</c:v>
                </c:pt>
                <c:pt idx="1">
                  <c:v>117.32777780000001</c:v>
                </c:pt>
                <c:pt idx="2">
                  <c:v>123.0361111</c:v>
                </c:pt>
                <c:pt idx="3">
                  <c:v>129.1</c:v>
                </c:pt>
                <c:pt idx="4">
                  <c:v>133.38611109999999</c:v>
                </c:pt>
                <c:pt idx="5">
                  <c:v>138.6694444</c:v>
                </c:pt>
                <c:pt idx="6">
                  <c:v>144.12727269999999</c:v>
                </c:pt>
                <c:pt idx="7">
                  <c:v>152.81041669999999</c:v>
                </c:pt>
                <c:pt idx="8">
                  <c:v>161.41666670000001</c:v>
                </c:pt>
                <c:pt idx="9">
                  <c:v>172.07499999999999</c:v>
                </c:pt>
                <c:pt idx="10">
                  <c:v>177.5733333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6-4294-BB40-C36911C40C0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1036847"/>
        <c:axId val="591044527"/>
      </c:lineChart>
      <c:catAx>
        <c:axId val="591036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44527"/>
        <c:crosses val="autoZero"/>
        <c:auto val="1"/>
        <c:lblAlgn val="ctr"/>
        <c:lblOffset val="100"/>
        <c:noMultiLvlLbl val="0"/>
      </c:catAx>
      <c:valAx>
        <c:axId val="59104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3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Y-O-Y trend for general index (R+U)</a:t>
            </a:r>
          </a:p>
        </c:rich>
      </c:tx>
      <c:layout>
        <c:manualLayout>
          <c:xMode val="edge"/>
          <c:yMode val="edge"/>
          <c:x val="0.18655428488105655"/>
          <c:y val="4.2534200719266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20603674540682"/>
          <c:y val="0.19226851851851851"/>
          <c:w val="0.86601618547681536"/>
          <c:h val="0.60368802857976089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'Objective 2.1'!$C$46:$C$52</c:f>
              <c:numCache>
                <c:formatCode>0.00%</c:formatCode>
                <c:ptCount val="7"/>
                <c:pt idx="0">
                  <c:v>3.8644785600847067E-2</c:v>
                </c:pt>
                <c:pt idx="1">
                  <c:v>4.2813455657492311E-2</c:v>
                </c:pt>
                <c:pt idx="2">
                  <c:v>2.9081133919843401E-2</c:v>
                </c:pt>
                <c:pt idx="3">
                  <c:v>5.8418427926858356E-2</c:v>
                </c:pt>
                <c:pt idx="4">
                  <c:v>5.5418442898810961E-2</c:v>
                </c:pt>
                <c:pt idx="5">
                  <c:v>6.9090136054421644E-2</c:v>
                </c:pt>
                <c:pt idx="6">
                  <c:v>5.6870153111950678E-2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C-406F-82F0-59BD388E197E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'Objective 2.1'!$D$46:$D$52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EC-406F-82F0-59BD388E19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07075215"/>
        <c:axId val="707072815"/>
      </c:lineChart>
      <c:catAx>
        <c:axId val="7070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2815"/>
        <c:crosses val="autoZero"/>
        <c:auto val="1"/>
        <c:lblAlgn val="ctr"/>
        <c:lblOffset val="100"/>
        <c:noMultiLvlLbl val="0"/>
      </c:catAx>
      <c:valAx>
        <c:axId val="7070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07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Comparision of Inflation of R, U, R+U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3'!$G$3:$G$4</c:f>
              <c:strCache>
                <c:ptCount val="2"/>
                <c:pt idx="0">
                  <c:v>R Inflation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'Objective 3'!$C$5:$C$16</c:f>
              <c:strCache>
                <c:ptCount val="12"/>
                <c:pt idx="0">
                  <c:v>2022 June</c:v>
                </c:pt>
                <c:pt idx="1">
                  <c:v>2022 July</c:v>
                </c:pt>
                <c:pt idx="2">
                  <c:v>2022 August</c:v>
                </c:pt>
                <c:pt idx="3">
                  <c:v>2022 September</c:v>
                </c:pt>
                <c:pt idx="4">
                  <c:v>2022 October</c:v>
                </c:pt>
                <c:pt idx="5">
                  <c:v>2022 November</c:v>
                </c:pt>
                <c:pt idx="6">
                  <c:v>2022 December</c:v>
                </c:pt>
                <c:pt idx="7">
                  <c:v>2023 January</c:v>
                </c:pt>
                <c:pt idx="8">
                  <c:v>2023 February</c:v>
                </c:pt>
                <c:pt idx="9">
                  <c:v>2023 March</c:v>
                </c:pt>
                <c:pt idx="10">
                  <c:v>2023 April</c:v>
                </c:pt>
                <c:pt idx="11">
                  <c:v>2023 May</c:v>
                </c:pt>
              </c:strCache>
            </c:strRef>
          </c:cat>
          <c:val>
            <c:numRef>
              <c:f>'Objective 3'!$G$5:$G$16</c:f>
              <c:numCache>
                <c:formatCode>0.00</c:formatCode>
                <c:ptCount val="12"/>
                <c:pt idx="0">
                  <c:v>0.96551104724268</c:v>
                </c:pt>
                <c:pt idx="1">
                  <c:v>0.18680781034558636</c:v>
                </c:pt>
                <c:pt idx="2">
                  <c:v>0.1465038845726849</c:v>
                </c:pt>
                <c:pt idx="3">
                  <c:v>0.5319620533735463</c:v>
                </c:pt>
                <c:pt idx="4">
                  <c:v>0.73639650762853059</c:v>
                </c:pt>
                <c:pt idx="5">
                  <c:v>0.14007441453271255</c:v>
                </c:pt>
                <c:pt idx="6">
                  <c:v>-0.46334746688813699</c:v>
                </c:pt>
                <c:pt idx="7">
                  <c:v>0.26788459004876219</c:v>
                </c:pt>
                <c:pt idx="8">
                  <c:v>-0.76646811492643885</c:v>
                </c:pt>
                <c:pt idx="9">
                  <c:v>4.413646996529276E-3</c:v>
                </c:pt>
                <c:pt idx="10">
                  <c:v>0.37072998499424642</c:v>
                </c:pt>
                <c:pt idx="11">
                  <c:v>0.72552985665292902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0-4722-99C1-B460320FA8E8}"/>
            </c:ext>
          </c:extLst>
        </c:ser>
        <c:ser>
          <c:idx val="1"/>
          <c:order val="1"/>
          <c:tx>
            <c:strRef>
              <c:f>'Objective 3'!$H$3:$H$4</c:f>
              <c:strCache>
                <c:ptCount val="2"/>
                <c:pt idx="0">
                  <c:v>U Inflation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'Objective 3'!$C$5:$C$16</c:f>
              <c:strCache>
                <c:ptCount val="12"/>
                <c:pt idx="0">
                  <c:v>2022 June</c:v>
                </c:pt>
                <c:pt idx="1">
                  <c:v>2022 July</c:v>
                </c:pt>
                <c:pt idx="2">
                  <c:v>2022 August</c:v>
                </c:pt>
                <c:pt idx="3">
                  <c:v>2022 September</c:v>
                </c:pt>
                <c:pt idx="4">
                  <c:v>2022 October</c:v>
                </c:pt>
                <c:pt idx="5">
                  <c:v>2022 November</c:v>
                </c:pt>
                <c:pt idx="6">
                  <c:v>2022 December</c:v>
                </c:pt>
                <c:pt idx="7">
                  <c:v>2023 January</c:v>
                </c:pt>
                <c:pt idx="8">
                  <c:v>2023 February</c:v>
                </c:pt>
                <c:pt idx="9">
                  <c:v>2023 March</c:v>
                </c:pt>
                <c:pt idx="10">
                  <c:v>2023 April</c:v>
                </c:pt>
                <c:pt idx="11">
                  <c:v>2023 May</c:v>
                </c:pt>
              </c:strCache>
            </c:strRef>
          </c:cat>
          <c:val>
            <c:numRef>
              <c:f>'Objective 3'!$H$5:$H$16</c:f>
              <c:numCache>
                <c:formatCode>0.00</c:formatCode>
                <c:ptCount val="12"/>
                <c:pt idx="0">
                  <c:v>1.1183803377243269</c:v>
                </c:pt>
                <c:pt idx="1">
                  <c:v>0.17923497267759164</c:v>
                </c:pt>
                <c:pt idx="2">
                  <c:v>9.1639029499036004E-2</c:v>
                </c:pt>
                <c:pt idx="3">
                  <c:v>0.55369054366308901</c:v>
                </c:pt>
                <c:pt idx="4">
                  <c:v>0.6893860561914712</c:v>
                </c:pt>
                <c:pt idx="5">
                  <c:v>-0.34017999397149767</c:v>
                </c:pt>
                <c:pt idx="6">
                  <c:v>-0.80366401659178899</c:v>
                </c:pt>
                <c:pt idx="7">
                  <c:v>0.6272323373116363</c:v>
                </c:pt>
                <c:pt idx="8">
                  <c:v>-0.30300406891180215</c:v>
                </c:pt>
                <c:pt idx="9">
                  <c:v>8.6835706842772163E-3</c:v>
                </c:pt>
                <c:pt idx="10">
                  <c:v>0.62082139446037088</c:v>
                </c:pt>
                <c:pt idx="11">
                  <c:v>0.75074427233894092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0-4722-99C1-B460320FA8E8}"/>
            </c:ext>
          </c:extLst>
        </c:ser>
        <c:ser>
          <c:idx val="2"/>
          <c:order val="2"/>
          <c:tx>
            <c:strRef>
              <c:f>'Objective 3'!$I$3:$I$4</c:f>
              <c:strCache>
                <c:ptCount val="2"/>
                <c:pt idx="0">
                  <c:v>R+U Inflation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'Objective 3'!$C$5:$C$16</c:f>
              <c:strCache>
                <c:ptCount val="12"/>
                <c:pt idx="0">
                  <c:v>2022 June</c:v>
                </c:pt>
                <c:pt idx="1">
                  <c:v>2022 July</c:v>
                </c:pt>
                <c:pt idx="2">
                  <c:v>2022 August</c:v>
                </c:pt>
                <c:pt idx="3">
                  <c:v>2022 September</c:v>
                </c:pt>
                <c:pt idx="4">
                  <c:v>2022 October</c:v>
                </c:pt>
                <c:pt idx="5">
                  <c:v>2022 November</c:v>
                </c:pt>
                <c:pt idx="6">
                  <c:v>2022 December</c:v>
                </c:pt>
                <c:pt idx="7">
                  <c:v>2023 January</c:v>
                </c:pt>
                <c:pt idx="8">
                  <c:v>2023 February</c:v>
                </c:pt>
                <c:pt idx="9">
                  <c:v>2023 March</c:v>
                </c:pt>
                <c:pt idx="10">
                  <c:v>2023 April</c:v>
                </c:pt>
                <c:pt idx="11">
                  <c:v>2023 May</c:v>
                </c:pt>
              </c:strCache>
            </c:strRef>
          </c:cat>
          <c:val>
            <c:numRef>
              <c:f>'Objective 3'!$I$5:$I$16</c:f>
              <c:numCache>
                <c:formatCode>0.00</c:formatCode>
                <c:ptCount val="12"/>
                <c:pt idx="0">
                  <c:v>1.0272901871454525</c:v>
                </c:pt>
                <c:pt idx="1">
                  <c:v>0.19452672531942572</c:v>
                </c:pt>
                <c:pt idx="2">
                  <c:v>0.12796187618585758</c:v>
                </c:pt>
                <c:pt idx="3">
                  <c:v>0.51560021152828384</c:v>
                </c:pt>
                <c:pt idx="4">
                  <c:v>0.7190144241308295</c:v>
                </c:pt>
                <c:pt idx="5">
                  <c:v>-2.1764680276846731E-2</c:v>
                </c:pt>
                <c:pt idx="6">
                  <c:v>-0.58342041100662179</c:v>
                </c:pt>
                <c:pt idx="7">
                  <c:v>0.40728737847068963</c:v>
                </c:pt>
                <c:pt idx="8">
                  <c:v>-0.59318707201116194</c:v>
                </c:pt>
                <c:pt idx="9">
                  <c:v>4.3876968978943031E-3</c:v>
                </c:pt>
                <c:pt idx="10">
                  <c:v>0.45630045630048033</c:v>
                </c:pt>
                <c:pt idx="11">
                  <c:v>1.2272886093640769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0-4722-99C1-B460320FA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864911"/>
        <c:axId val="117868271"/>
      </c:barChart>
      <c:catAx>
        <c:axId val="11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8271"/>
        <c:crosses val="autoZero"/>
        <c:auto val="1"/>
        <c:lblAlgn val="ctr"/>
        <c:lblOffset val="100"/>
        <c:noMultiLvlLbl val="0"/>
      </c:catAx>
      <c:valAx>
        <c:axId val="11786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6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'[1]Problem 3'!$H$10</c:f>
              <c:strCache>
                <c:ptCount val="1"/>
                <c:pt idx="0">
                  <c:v>Rural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'[1]Problem 3'!$G$11:$G$22</c:f>
              <c:strCache>
                <c:ptCount val="12"/>
                <c:pt idx="0">
                  <c:v>June-2022</c:v>
                </c:pt>
                <c:pt idx="1">
                  <c:v>July-2022</c:v>
                </c:pt>
                <c:pt idx="2">
                  <c:v>August-2022</c:v>
                </c:pt>
                <c:pt idx="3">
                  <c:v>September-2022</c:v>
                </c:pt>
                <c:pt idx="4">
                  <c:v>October-2022</c:v>
                </c:pt>
                <c:pt idx="5">
                  <c:v>November-2022</c:v>
                </c:pt>
                <c:pt idx="6">
                  <c:v>December-2022</c:v>
                </c:pt>
                <c:pt idx="7">
                  <c:v>January-2023</c:v>
                </c:pt>
                <c:pt idx="8">
                  <c:v>February-2023</c:v>
                </c:pt>
                <c:pt idx="9">
                  <c:v>March-2023</c:v>
                </c:pt>
                <c:pt idx="10">
                  <c:v>April-2023</c:v>
                </c:pt>
                <c:pt idx="11">
                  <c:v>May-2023</c:v>
                </c:pt>
              </c:strCache>
            </c:strRef>
          </c:cat>
          <c:val>
            <c:numRef>
              <c:f>'[1]Problem 3'!$H$11:$H$22</c:f>
              <c:numCache>
                <c:formatCode>General</c:formatCode>
                <c:ptCount val="12"/>
                <c:pt idx="0">
                  <c:v>9.3676814988290051E-3</c:v>
                </c:pt>
                <c:pt idx="1">
                  <c:v>5.80046403712264E-4</c:v>
                </c:pt>
                <c:pt idx="2">
                  <c:v>8.1159420289855407E-3</c:v>
                </c:pt>
                <c:pt idx="3">
                  <c:v>9.2006900517538487E-3</c:v>
                </c:pt>
                <c:pt idx="4">
                  <c:v>1.0826210826210859E-2</c:v>
                </c:pt>
                <c:pt idx="5">
                  <c:v>-4.5095828635851824E-3</c:v>
                </c:pt>
                <c:pt idx="6">
                  <c:v>-1.2457531143827796E-2</c:v>
                </c:pt>
                <c:pt idx="7">
                  <c:v>3.4403669724770315E-3</c:v>
                </c:pt>
                <c:pt idx="8">
                  <c:v>-1.1428571428570779E-3</c:v>
                </c:pt>
                <c:pt idx="9">
                  <c:v>0</c:v>
                </c:pt>
                <c:pt idx="10">
                  <c:v>4.0045766590388367E-3</c:v>
                </c:pt>
                <c:pt idx="11">
                  <c:v>7.4074074074074719E-3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2-4D18-A3ED-EDFF1CE55760}"/>
            </c:ext>
          </c:extLst>
        </c:ser>
        <c:ser>
          <c:idx val="1"/>
          <c:order val="1"/>
          <c:tx>
            <c:strRef>
              <c:f>'[1]Problem 3'!$I$10</c:f>
              <c:strCache>
                <c:ptCount val="1"/>
                <c:pt idx="0">
                  <c:v>Rural+Urban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'[1]Problem 3'!$G$11:$G$22</c:f>
              <c:strCache>
                <c:ptCount val="12"/>
                <c:pt idx="0">
                  <c:v>June-2022</c:v>
                </c:pt>
                <c:pt idx="1">
                  <c:v>July-2022</c:v>
                </c:pt>
                <c:pt idx="2">
                  <c:v>August-2022</c:v>
                </c:pt>
                <c:pt idx="3">
                  <c:v>September-2022</c:v>
                </c:pt>
                <c:pt idx="4">
                  <c:v>October-2022</c:v>
                </c:pt>
                <c:pt idx="5">
                  <c:v>November-2022</c:v>
                </c:pt>
                <c:pt idx="6">
                  <c:v>December-2022</c:v>
                </c:pt>
                <c:pt idx="7">
                  <c:v>January-2023</c:v>
                </c:pt>
                <c:pt idx="8">
                  <c:v>February-2023</c:v>
                </c:pt>
                <c:pt idx="9">
                  <c:v>March-2023</c:v>
                </c:pt>
                <c:pt idx="10">
                  <c:v>April-2023</c:v>
                </c:pt>
                <c:pt idx="11">
                  <c:v>May-2023</c:v>
                </c:pt>
              </c:strCache>
            </c:strRef>
          </c:cat>
          <c:val>
            <c:numRef>
              <c:f>'[1]Problem 3'!$I$11:$I$22</c:f>
              <c:numCache>
                <c:formatCode>General</c:formatCode>
                <c:ptCount val="12"/>
                <c:pt idx="0">
                  <c:v>9.2325447201384546E-3</c:v>
                </c:pt>
                <c:pt idx="1">
                  <c:v>5.7175528873638828E-4</c:v>
                </c:pt>
                <c:pt idx="2">
                  <c:v>7.4285714285714935E-3</c:v>
                </c:pt>
                <c:pt idx="3">
                  <c:v>8.5082246171298923E-3</c:v>
                </c:pt>
                <c:pt idx="4">
                  <c:v>1.0123734533183255E-2</c:v>
                </c:pt>
                <c:pt idx="5">
                  <c:v>-7.2383073496658295E-3</c:v>
                </c:pt>
                <c:pt idx="6">
                  <c:v>-1.3460459899046581E-2</c:v>
                </c:pt>
                <c:pt idx="7">
                  <c:v>4.5480386583284984E-3</c:v>
                </c:pt>
                <c:pt idx="8">
                  <c:v>1.6977928692700134E-3</c:v>
                </c:pt>
                <c:pt idx="9">
                  <c:v>0</c:v>
                </c:pt>
                <c:pt idx="10">
                  <c:v>5.0847457627118961E-3</c:v>
                </c:pt>
                <c:pt idx="11">
                  <c:v>6.7453625632377095E-3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2-4D18-A3ED-EDFF1CE55760}"/>
            </c:ext>
          </c:extLst>
        </c:ser>
        <c:ser>
          <c:idx val="2"/>
          <c:order val="2"/>
          <c:tx>
            <c:strRef>
              <c:f>'[1]Problem 3'!$J$10</c:f>
              <c:strCache>
                <c:ptCount val="1"/>
                <c:pt idx="0">
                  <c:v>Urban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'[1]Problem 3'!$G$11:$G$22</c:f>
              <c:strCache>
                <c:ptCount val="12"/>
                <c:pt idx="0">
                  <c:v>June-2022</c:v>
                </c:pt>
                <c:pt idx="1">
                  <c:v>July-2022</c:v>
                </c:pt>
                <c:pt idx="2">
                  <c:v>August-2022</c:v>
                </c:pt>
                <c:pt idx="3">
                  <c:v>September-2022</c:v>
                </c:pt>
                <c:pt idx="4">
                  <c:v>October-2022</c:v>
                </c:pt>
                <c:pt idx="5">
                  <c:v>November-2022</c:v>
                </c:pt>
                <c:pt idx="6">
                  <c:v>December-2022</c:v>
                </c:pt>
                <c:pt idx="7">
                  <c:v>January-2023</c:v>
                </c:pt>
                <c:pt idx="8">
                  <c:v>February-2023</c:v>
                </c:pt>
                <c:pt idx="9">
                  <c:v>March-2023</c:v>
                </c:pt>
                <c:pt idx="10">
                  <c:v>April-2023</c:v>
                </c:pt>
                <c:pt idx="11">
                  <c:v>May-2023</c:v>
                </c:pt>
              </c:strCache>
            </c:strRef>
          </c:cat>
          <c:val>
            <c:numRef>
              <c:f>'[1]Problem 3'!$J$11:$J$22</c:f>
              <c:numCache>
                <c:formatCode>General</c:formatCode>
                <c:ptCount val="12"/>
                <c:pt idx="0">
                  <c:v>1.0140845070422599E-2</c:v>
                </c:pt>
                <c:pt idx="1">
                  <c:v>5.5772448410482047E-4</c:v>
                </c:pt>
                <c:pt idx="2">
                  <c:v>5.5741360089186171E-3</c:v>
                </c:pt>
                <c:pt idx="3">
                  <c:v>7.7605321507760849E-3</c:v>
                </c:pt>
                <c:pt idx="4">
                  <c:v>8.2508250825082501E-3</c:v>
                </c:pt>
                <c:pt idx="5">
                  <c:v>-1.0911074740861974E-2</c:v>
                </c:pt>
                <c:pt idx="6">
                  <c:v>-1.4892443463872128E-2</c:v>
                </c:pt>
                <c:pt idx="7">
                  <c:v>5.0391937290033915E-3</c:v>
                </c:pt>
                <c:pt idx="8">
                  <c:v>6.6852367688021649E-3</c:v>
                </c:pt>
                <c:pt idx="9">
                  <c:v>5.5340343110139867E-4</c:v>
                </c:pt>
                <c:pt idx="10">
                  <c:v>7.1902654867255691E-3</c:v>
                </c:pt>
                <c:pt idx="11">
                  <c:v>5.4914881933003845E-3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B2-4D18-A3ED-EDFF1CE557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6331360"/>
        <c:axId val="1865921120"/>
      </c:barChart>
      <c:catAx>
        <c:axId val="186633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921120"/>
        <c:crosses val="autoZero"/>
        <c:auto val="1"/>
        <c:lblAlgn val="ctr"/>
        <c:lblOffset val="100"/>
        <c:noMultiLvlLbl val="0"/>
      </c:catAx>
      <c:valAx>
        <c:axId val="18659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33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'[1]Problem 3'!$Q$108:$Q$119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Spices</c:v>
                </c:pt>
                <c:pt idx="5">
                  <c:v>Oils and fats</c:v>
                </c:pt>
                <c:pt idx="6">
                  <c:v>Fruits</c:v>
                </c:pt>
                <c:pt idx="7">
                  <c:v>Vegetables</c:v>
                </c:pt>
                <c:pt idx="8">
                  <c:v>Pulses and products</c:v>
                </c:pt>
                <c:pt idx="9">
                  <c:v>Sugar and Confectionery</c:v>
                </c:pt>
                <c:pt idx="10">
                  <c:v>Non-alcoholic beverages</c:v>
                </c:pt>
                <c:pt idx="11">
                  <c:v>Prepared meals, snacks, sweets etc.</c:v>
                </c:pt>
              </c:strCache>
            </c:strRef>
          </c:cat>
          <c:val>
            <c:numRef>
              <c:f>'[1]Problem 3'!$R$108:$R$119</c:f>
              <c:numCache>
                <c:formatCode>General</c:formatCode>
                <c:ptCount val="12"/>
                <c:pt idx="0">
                  <c:v>0.12085220029035372</c:v>
                </c:pt>
                <c:pt idx="1">
                  <c:v>-1.0960038075584964E-2</c:v>
                </c:pt>
                <c:pt idx="2">
                  <c:v>7.5858020928857975E-2</c:v>
                </c:pt>
                <c:pt idx="3">
                  <c:v>8.5207275393248891E-2</c:v>
                </c:pt>
                <c:pt idx="4">
                  <c:v>0.16602381892132637</c:v>
                </c:pt>
                <c:pt idx="5">
                  <c:v>-0.17196654140370343</c:v>
                </c:pt>
                <c:pt idx="6">
                  <c:v>1.212892331833881E-2</c:v>
                </c:pt>
                <c:pt idx="7">
                  <c:v>-6.6466572857876549E-2</c:v>
                </c:pt>
                <c:pt idx="8">
                  <c:v>6.4492479670082731E-2</c:v>
                </c:pt>
                <c:pt idx="9">
                  <c:v>2.4990010110495772E-2</c:v>
                </c:pt>
                <c:pt idx="10">
                  <c:v>3.7075142679248593E-2</c:v>
                </c:pt>
                <c:pt idx="11">
                  <c:v>6.2333124010194668E-2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6-4EEB-AA0F-44FE5BF0A284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'[1]Problem 3'!$Q$108:$Q$119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Spices</c:v>
                </c:pt>
                <c:pt idx="5">
                  <c:v>Oils and fats</c:v>
                </c:pt>
                <c:pt idx="6">
                  <c:v>Fruits</c:v>
                </c:pt>
                <c:pt idx="7">
                  <c:v>Vegetables</c:v>
                </c:pt>
                <c:pt idx="8">
                  <c:v>Pulses and products</c:v>
                </c:pt>
                <c:pt idx="9">
                  <c:v>Sugar and Confectionery</c:v>
                </c:pt>
                <c:pt idx="10">
                  <c:v>Non-alcoholic beverages</c:v>
                </c:pt>
                <c:pt idx="11">
                  <c:v>Prepared meals, snacks, sweets etc.</c:v>
                </c:pt>
              </c:strCache>
            </c:strRef>
          </c:cat>
          <c:val>
            <c:numRef>
              <c:f>'[1]Problem 3'!$S$108:$S$119</c:f>
              <c:numCache>
                <c:formatCode>General</c:formatCode>
                <c:ptCount val="12"/>
                <c:pt idx="0">
                  <c:v>0.12601803352788893</c:v>
                </c:pt>
                <c:pt idx="1">
                  <c:v>-1.3415927239515419E-2</c:v>
                </c:pt>
                <c:pt idx="2">
                  <c:v>6.9027470519994569E-2</c:v>
                </c:pt>
                <c:pt idx="3">
                  <c:v>8.7604842900340665E-2</c:v>
                </c:pt>
                <c:pt idx="4">
                  <c:v>0.17060794533039508</c:v>
                </c:pt>
                <c:pt idx="5">
                  <c:v>-0.18860073732493318</c:v>
                </c:pt>
                <c:pt idx="6">
                  <c:v>1.0550729170309782E-2</c:v>
                </c:pt>
                <c:pt idx="7">
                  <c:v>-5.9844646584606448E-2</c:v>
                </c:pt>
                <c:pt idx="8">
                  <c:v>5.8650424856599249E-2</c:v>
                </c:pt>
                <c:pt idx="9">
                  <c:v>2.5192886014239267E-2</c:v>
                </c:pt>
                <c:pt idx="10">
                  <c:v>3.131543042249578E-2</c:v>
                </c:pt>
                <c:pt idx="11">
                  <c:v>5.7787078677428043E-2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B6-4EEB-AA0F-44FE5BF0A284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'[1]Problem 3'!$Q$108:$Q$119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Spices</c:v>
                </c:pt>
                <c:pt idx="5">
                  <c:v>Oils and fats</c:v>
                </c:pt>
                <c:pt idx="6">
                  <c:v>Fruits</c:v>
                </c:pt>
                <c:pt idx="7">
                  <c:v>Vegetables</c:v>
                </c:pt>
                <c:pt idx="8">
                  <c:v>Pulses and products</c:v>
                </c:pt>
                <c:pt idx="9">
                  <c:v>Sugar and Confectionery</c:v>
                </c:pt>
                <c:pt idx="10">
                  <c:v>Non-alcoholic beverages</c:v>
                </c:pt>
                <c:pt idx="11">
                  <c:v>Prepared meals, snacks, sweets etc.</c:v>
                </c:pt>
              </c:strCache>
            </c:strRef>
          </c:cat>
          <c:val>
            <c:numRef>
              <c:f>'[1]Problem 3'!$T$108:$T$119</c:f>
              <c:numCache>
                <c:formatCode>General</c:formatCode>
                <c:ptCount val="12"/>
                <c:pt idx="0">
                  <c:v>0.10948121428393404</c:v>
                </c:pt>
                <c:pt idx="1">
                  <c:v>-6.639897831265909E-3</c:v>
                </c:pt>
                <c:pt idx="2">
                  <c:v>8.5789646476304438E-2</c:v>
                </c:pt>
                <c:pt idx="3">
                  <c:v>8.1608183959908737E-2</c:v>
                </c:pt>
                <c:pt idx="4">
                  <c:v>0.1566574174276722</c:v>
                </c:pt>
                <c:pt idx="5">
                  <c:v>-0.14039869277175199</c:v>
                </c:pt>
                <c:pt idx="6">
                  <c:v>1.3452894126808595E-2</c:v>
                </c:pt>
                <c:pt idx="7">
                  <c:v>-7.5795670153252434E-2</c:v>
                </c:pt>
                <c:pt idx="8">
                  <c:v>7.5611128143722547E-2</c:v>
                </c:pt>
                <c:pt idx="9">
                  <c:v>2.4616706238015207E-2</c:v>
                </c:pt>
                <c:pt idx="10">
                  <c:v>4.5734300024166549E-2</c:v>
                </c:pt>
                <c:pt idx="11">
                  <c:v>6.7173674108132769E-2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B6-4EEB-AA0F-44FE5BF0A2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5291408"/>
        <c:axId val="369623775"/>
      </c:barChart>
      <c:catAx>
        <c:axId val="206529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23775"/>
        <c:crosses val="autoZero"/>
        <c:auto val="1"/>
        <c:lblAlgn val="ctr"/>
        <c:lblOffset val="100"/>
        <c:noMultiLvlLbl val="0"/>
      </c:catAx>
      <c:valAx>
        <c:axId val="3696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29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 Case Study.xlsx]Objective 4.1!PivotTable5</c:name>
    <c:fmtId val="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4.1'!$B$3</c:f>
              <c:strCache>
                <c:ptCount val="1"/>
                <c:pt idx="0">
                  <c:v>Average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'Objective 4.1'!$A$4:$A$9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'Objective 4.1'!$B$4:$B$9</c:f>
              <c:numCache>
                <c:formatCode>0.00</c:formatCode>
                <c:ptCount val="5"/>
                <c:pt idx="0">
                  <c:v>1769.2083333333335</c:v>
                </c:pt>
                <c:pt idx="1">
                  <c:v>1835.1454545454544</c:v>
                </c:pt>
                <c:pt idx="2">
                  <c:v>1976.9627848860457</c:v>
                </c:pt>
                <c:pt idx="3">
                  <c:v>2123.3861111111114</c:v>
                </c:pt>
                <c:pt idx="4">
                  <c:v>2246.6388888888887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0-421C-BBF7-E4EE399741A1}"/>
            </c:ext>
          </c:extLst>
        </c:ser>
        <c:ser>
          <c:idx val="1"/>
          <c:order val="1"/>
          <c:tx>
            <c:strRef>
              <c:f>'Objective 4.1'!$C$3</c:f>
              <c:strCache>
                <c:ptCount val="1"/>
                <c:pt idx="0">
                  <c:v>Average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'Objective 4.1'!$A$4:$A$9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'Objective 4.1'!$C$4:$C$9</c:f>
              <c:numCache>
                <c:formatCode>0.00</c:formatCode>
                <c:ptCount val="5"/>
                <c:pt idx="0">
                  <c:v>137.00555555555553</c:v>
                </c:pt>
                <c:pt idx="1">
                  <c:v>146.92424242424244</c:v>
                </c:pt>
                <c:pt idx="2">
                  <c:v>152.22583333333333</c:v>
                </c:pt>
                <c:pt idx="3">
                  <c:v>165.13333333333335</c:v>
                </c:pt>
                <c:pt idx="4">
                  <c:v>175.35277777777776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0-421C-BBF7-E4EE399741A1}"/>
            </c:ext>
          </c:extLst>
        </c:ser>
        <c:ser>
          <c:idx val="2"/>
          <c:order val="2"/>
          <c:tx>
            <c:strRef>
              <c:f>'Objective 4.1'!$D$3</c:f>
              <c:strCache>
                <c:ptCount val="1"/>
                <c:pt idx="0">
                  <c:v>Average of Miscellaneous new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'Objective 4.1'!$A$4:$A$9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'Objective 4.1'!$D$4:$D$9</c:f>
              <c:numCache>
                <c:formatCode>0.00</c:formatCode>
                <c:ptCount val="5"/>
                <c:pt idx="0">
                  <c:v>657.84999999999991</c:v>
                </c:pt>
                <c:pt idx="1">
                  <c:v>686.23939393939395</c:v>
                </c:pt>
                <c:pt idx="2">
                  <c:v>719.06166666666661</c:v>
                </c:pt>
                <c:pt idx="3">
                  <c:v>777.89166666666654</c:v>
                </c:pt>
                <c:pt idx="4">
                  <c:v>830.94166666666649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D0-421C-BBF7-E4EE39974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1045967"/>
        <c:axId val="591057487"/>
      </c:barChart>
      <c:catAx>
        <c:axId val="5910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57487"/>
        <c:crosses val="autoZero"/>
        <c:auto val="1"/>
        <c:lblAlgn val="ctr"/>
        <c:lblOffset val="100"/>
        <c:noMultiLvlLbl val="0"/>
      </c:catAx>
      <c:valAx>
        <c:axId val="59105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45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553149606299214E-2"/>
          <c:y val="0.19272286212157363"/>
          <c:w val="0.88666907261592287"/>
          <c:h val="0.6324682038712102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'Objective 4.1'!$B$36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4.1'!$A$37:$A$42</c:f>
              <c:numCache>
                <c:formatCode>General</c:formatCode>
                <c:ptCount val="6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4.1'!$B$37:$B$42</c:f>
              <c:numCache>
                <c:formatCode>0%</c:formatCode>
                <c:ptCount val="6"/>
                <c:pt idx="1">
                  <c:v>3.7269280259318013E-2</c:v>
                </c:pt>
                <c:pt idx="2">
                  <c:v>7.7278523067109098E-2</c:v>
                </c:pt>
                <c:pt idx="3">
                  <c:v>7.4064786319943648E-2</c:v>
                </c:pt>
                <c:pt idx="4">
                  <c:v>5.8045391336426506E-2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8-4D42-A211-595EE758354E}"/>
            </c:ext>
          </c:extLst>
        </c:ser>
        <c:ser>
          <c:idx val="1"/>
          <c:order val="1"/>
          <c:tx>
            <c:strRef>
              <c:f>'Objective 4.1'!$C$36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4.1'!$A$37:$A$42</c:f>
              <c:numCache>
                <c:formatCode>General</c:formatCode>
                <c:ptCount val="6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4.1'!$C$37:$C$42</c:f>
              <c:numCache>
                <c:formatCode>0%</c:formatCode>
                <c:ptCount val="6"/>
                <c:pt idx="1">
                  <c:v>7.2396238447898789E-2</c:v>
                </c:pt>
                <c:pt idx="2">
                  <c:v>3.6083840362998734E-2</c:v>
                </c:pt>
                <c:pt idx="3">
                  <c:v>8.4791784136507897E-2</c:v>
                </c:pt>
                <c:pt idx="4">
                  <c:v>6.1886018032566034E-2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8-4D42-A211-595EE758354E}"/>
            </c:ext>
          </c:extLst>
        </c:ser>
        <c:ser>
          <c:idx val="2"/>
          <c:order val="2"/>
          <c:tx>
            <c:strRef>
              <c:f>'Objective 4.1'!$D$36</c:f>
              <c:strCache>
                <c:ptCount val="1"/>
                <c:pt idx="0">
                  <c:v>Miscellaneous 2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4.1'!$A$37:$A$42</c:f>
              <c:numCache>
                <c:formatCode>General</c:formatCode>
                <c:ptCount val="6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4.1'!$D$37:$D$42</c:f>
              <c:numCache>
                <c:formatCode>0%</c:formatCode>
                <c:ptCount val="6"/>
                <c:pt idx="1">
                  <c:v>4.3154813315184379E-2</c:v>
                </c:pt>
                <c:pt idx="2">
                  <c:v>4.7829187623366604E-2</c:v>
                </c:pt>
                <c:pt idx="3">
                  <c:v>8.1814957919696174E-2</c:v>
                </c:pt>
                <c:pt idx="4">
                  <c:v>6.8197156844890527E-2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08-4D42-A211-595EE75835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604431151"/>
        <c:axId val="604434511"/>
        <c:axId val="0"/>
      </c:bar3DChart>
      <c:catAx>
        <c:axId val="60443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34511"/>
        <c:crosses val="autoZero"/>
        <c:auto val="1"/>
        <c:lblAlgn val="ctr"/>
        <c:lblOffset val="100"/>
        <c:noMultiLvlLbl val="0"/>
      </c:catAx>
      <c:valAx>
        <c:axId val="60443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3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Inflation</a:t>
            </a:r>
            <a:r>
              <a:rPr lang="en-IN" baseline="0"/>
              <a:t>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'Objective 4.1'!$B$44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4.1'!$A$45:$A$49</c:f>
              <c:numCache>
                <c:formatCode>General</c:formatCode>
                <c:ptCount val="5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4.1'!$B$45:$B$49</c:f>
              <c:numCache>
                <c:formatCode>0.00</c:formatCode>
                <c:ptCount val="5"/>
                <c:pt idx="1">
                  <c:v>1835.1454545454544</c:v>
                </c:pt>
                <c:pt idx="2">
                  <c:v>1976.9627848860457</c:v>
                </c:pt>
                <c:pt idx="3">
                  <c:v>2123.3861111111114</c:v>
                </c:pt>
                <c:pt idx="4">
                  <c:v>2246.6388888888887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7-4FE3-B7F4-0C060DB4453E}"/>
            </c:ext>
          </c:extLst>
        </c:ser>
        <c:ser>
          <c:idx val="1"/>
          <c:order val="1"/>
          <c:tx>
            <c:strRef>
              <c:f>'Objective 4.1'!$C$44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4.1'!$A$45:$A$49</c:f>
              <c:numCache>
                <c:formatCode>General</c:formatCode>
                <c:ptCount val="5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4.1'!$C$45:$C$49</c:f>
              <c:numCache>
                <c:formatCode>0.00</c:formatCode>
                <c:ptCount val="5"/>
                <c:pt idx="1">
                  <c:v>146.92424242424244</c:v>
                </c:pt>
                <c:pt idx="2">
                  <c:v>152.22583333333333</c:v>
                </c:pt>
                <c:pt idx="3">
                  <c:v>165.13333333333335</c:v>
                </c:pt>
                <c:pt idx="4">
                  <c:v>175.35277777777776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67-4FE3-B7F4-0C060DB4453E}"/>
            </c:ext>
          </c:extLst>
        </c:ser>
        <c:ser>
          <c:idx val="2"/>
          <c:order val="2"/>
          <c:tx>
            <c:strRef>
              <c:f>'Objective 4.1'!$D$44</c:f>
              <c:strCache>
                <c:ptCount val="1"/>
                <c:pt idx="0">
                  <c:v>Miscellaneous 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4.1'!$A$45:$A$49</c:f>
              <c:numCache>
                <c:formatCode>General</c:formatCode>
                <c:ptCount val="5"/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4.1'!$D$45:$D$49</c:f>
              <c:numCache>
                <c:formatCode>0.00</c:formatCode>
                <c:ptCount val="5"/>
                <c:pt idx="1">
                  <c:v>686.23939393939395</c:v>
                </c:pt>
                <c:pt idx="2">
                  <c:v>719.06166666666661</c:v>
                </c:pt>
                <c:pt idx="3">
                  <c:v>777.89166666666654</c:v>
                </c:pt>
                <c:pt idx="4">
                  <c:v>830.94166666666649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7-4FE3-B7F4-0C060DB445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24514239"/>
        <c:axId val="1724498399"/>
        <c:axId val="0"/>
      </c:bar3DChart>
      <c:catAx>
        <c:axId val="172451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98399"/>
        <c:crosses val="autoZero"/>
        <c:auto val="1"/>
        <c:lblAlgn val="ctr"/>
        <c:lblOffset val="100"/>
        <c:noMultiLvlLbl val="0"/>
      </c:catAx>
      <c:valAx>
        <c:axId val="172449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51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Inflation</a:t>
            </a:r>
            <a:r>
              <a:rPr lang="en-IN" baseline="0"/>
              <a:t> trend</a:t>
            </a:r>
          </a:p>
        </c:rich>
      </c:tx>
      <c:layout>
        <c:manualLayout>
          <c:xMode val="edge"/>
          <c:yMode val="edge"/>
          <c:x val="6.5577984781080081E-2"/>
          <c:y val="3.4364261168384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Food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4.1'!$A$63:$A$67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4.1'!$E$63:$E$67</c:f>
              <c:numCache>
                <c:formatCode>0%</c:formatCode>
                <c:ptCount val="5"/>
                <c:pt idx="0">
                  <c:v>9.2828381588351723E-3</c:v>
                </c:pt>
                <c:pt idx="1">
                  <c:v>3.7269280259318013E-2</c:v>
                </c:pt>
                <c:pt idx="2">
                  <c:v>7.7278523067109098E-2</c:v>
                </c:pt>
                <c:pt idx="3">
                  <c:v>7.4064786319943648E-2</c:v>
                </c:pt>
                <c:pt idx="4">
                  <c:v>5.8045391336426506E-2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B-4596-AEA2-54D9F84A966C}"/>
            </c:ext>
          </c:extLst>
        </c:ser>
        <c:ser>
          <c:idx val="1"/>
          <c:order val="1"/>
          <c:tx>
            <c:v>Health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4.1'!$A$63:$A$67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4.1'!$F$63:$F$67</c:f>
              <c:numCache>
                <c:formatCode>0%</c:formatCode>
                <c:ptCount val="5"/>
                <c:pt idx="0">
                  <c:v>6.2561937179542837E-2</c:v>
                </c:pt>
                <c:pt idx="1">
                  <c:v>7.2396238447898789E-2</c:v>
                </c:pt>
                <c:pt idx="2">
                  <c:v>3.6083840362998734E-2</c:v>
                </c:pt>
                <c:pt idx="3">
                  <c:v>8.4791784136507897E-2</c:v>
                </c:pt>
                <c:pt idx="4">
                  <c:v>6.1886018032566034E-2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B-4596-AEA2-54D9F84A966C}"/>
            </c:ext>
          </c:extLst>
        </c:ser>
        <c:ser>
          <c:idx val="2"/>
          <c:order val="2"/>
          <c:tx>
            <c:v>Miscellaneous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'Objective 4.1'!$A$63:$A$67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4.1'!$G$63:$G$67</c:f>
              <c:numCache>
                <c:formatCode>0%</c:formatCode>
                <c:ptCount val="5"/>
                <c:pt idx="0">
                  <c:v>5.0561598381745024E-2</c:v>
                </c:pt>
                <c:pt idx="1">
                  <c:v>4.3154813315184379E-2</c:v>
                </c:pt>
                <c:pt idx="2">
                  <c:v>4.7829187623366604E-2</c:v>
                </c:pt>
                <c:pt idx="3">
                  <c:v>8.1814957919696174E-2</c:v>
                </c:pt>
                <c:pt idx="4">
                  <c:v>6.8197156844890527E-2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B-4596-AEA2-54D9F84A96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3388096"/>
        <c:axId val="1483369856"/>
      </c:barChart>
      <c:catAx>
        <c:axId val="148338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69856"/>
        <c:crosses val="autoZero"/>
        <c:auto val="1"/>
        <c:lblAlgn val="ctr"/>
        <c:lblOffset val="100"/>
        <c:noMultiLvlLbl val="0"/>
      </c:catAx>
      <c:valAx>
        <c:axId val="148336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38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aseline="0"/>
              <a:t>Average cost per year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4.1'!$S$6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'Objective 4.1'!$R$7:$R$11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4.1'!$S$7:$S$11</c:f>
              <c:numCache>
                <c:formatCode>0.00</c:formatCode>
                <c:ptCount val="5"/>
                <c:pt idx="0">
                  <c:v>1769.2083333333335</c:v>
                </c:pt>
                <c:pt idx="1">
                  <c:v>1835.1454545454544</c:v>
                </c:pt>
                <c:pt idx="2">
                  <c:v>1976.9627848860457</c:v>
                </c:pt>
                <c:pt idx="3">
                  <c:v>2123.3861111111114</c:v>
                </c:pt>
                <c:pt idx="4">
                  <c:v>2246.6388888888887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D-4B53-80F0-3F8DBE216E60}"/>
            </c:ext>
          </c:extLst>
        </c:ser>
        <c:ser>
          <c:idx val="1"/>
          <c:order val="1"/>
          <c:tx>
            <c:strRef>
              <c:f>'Objective 4.1'!$T$6</c:f>
              <c:strCache>
                <c:ptCount val="1"/>
                <c:pt idx="0">
                  <c:v>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'Objective 4.1'!$R$7:$R$11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4.1'!$T$7:$T$11</c:f>
              <c:numCache>
                <c:formatCode>0.00</c:formatCode>
                <c:ptCount val="5"/>
                <c:pt idx="0">
                  <c:v>137.00555555555553</c:v>
                </c:pt>
                <c:pt idx="1">
                  <c:v>146.92424242424244</c:v>
                </c:pt>
                <c:pt idx="2">
                  <c:v>152.22583333333333</c:v>
                </c:pt>
                <c:pt idx="3">
                  <c:v>165.13333333333335</c:v>
                </c:pt>
                <c:pt idx="4">
                  <c:v>175.35277777777776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D-4B53-80F0-3F8DBE216E60}"/>
            </c:ext>
          </c:extLst>
        </c:ser>
        <c:ser>
          <c:idx val="2"/>
          <c:order val="2"/>
          <c:tx>
            <c:strRef>
              <c:f>'Objective 4.1'!$U$6</c:f>
              <c:strCache>
                <c:ptCount val="1"/>
                <c:pt idx="0">
                  <c:v>Miscellaneous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'Objective 4.1'!$R$7:$R$11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'Objective 4.1'!$U$7:$U$11</c:f>
              <c:numCache>
                <c:formatCode>0.00</c:formatCode>
                <c:ptCount val="5"/>
                <c:pt idx="0">
                  <c:v>657.84999999999991</c:v>
                </c:pt>
                <c:pt idx="1">
                  <c:v>686.23939393939395</c:v>
                </c:pt>
                <c:pt idx="2">
                  <c:v>719.06166666666661</c:v>
                </c:pt>
                <c:pt idx="3">
                  <c:v>777.89166666666654</c:v>
                </c:pt>
                <c:pt idx="4">
                  <c:v>830.94166666666649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6D-4B53-80F0-3F8DBE216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659840"/>
        <c:axId val="112659360"/>
      </c:barChart>
      <c:catAx>
        <c:axId val="1126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9360"/>
        <c:crosses val="autoZero"/>
        <c:auto val="1"/>
        <c:lblAlgn val="ctr"/>
        <c:lblOffset val="100"/>
        <c:noMultiLvlLbl val="0"/>
      </c:catAx>
      <c:valAx>
        <c:axId val="1126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59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'Objective 5'!$D$36</c:f>
              <c:strCache>
                <c:ptCount val="1"/>
                <c:pt idx="0">
                  <c:v>Crude Oil 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'Objective 5'!$B$37:$B$63</c:f>
              <c:strCache>
                <c:ptCount val="27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  <c:pt idx="26">
                  <c:v>General index</c:v>
                </c:pt>
              </c:strCache>
            </c:strRef>
          </c:xVal>
          <c:yVal>
            <c:numRef>
              <c:f>'Objective 5'!$D$37:$D$63</c:f>
              <c:numCache>
                <c:formatCode>0%</c:formatCode>
                <c:ptCount val="27"/>
                <c:pt idx="0">
                  <c:v>0.30771625684579207</c:v>
                </c:pt>
                <c:pt idx="1">
                  <c:v>0.75224664271736941</c:v>
                </c:pt>
                <c:pt idx="2">
                  <c:v>-0.15391219835886533</c:v>
                </c:pt>
                <c:pt idx="3">
                  <c:v>0.40274655994536601</c:v>
                </c:pt>
                <c:pt idx="4">
                  <c:v>0.77089018754813043</c:v>
                </c:pt>
                <c:pt idx="5">
                  <c:v>0.50273515955600057</c:v>
                </c:pt>
                <c:pt idx="6">
                  <c:v>0.33307762107432071</c:v>
                </c:pt>
                <c:pt idx="7">
                  <c:v>0.20210475794724725</c:v>
                </c:pt>
                <c:pt idx="8">
                  <c:v>0.5303480670017523</c:v>
                </c:pt>
                <c:pt idx="9">
                  <c:v>0.38749503725044177</c:v>
                </c:pt>
                <c:pt idx="10">
                  <c:v>0.5719871020653724</c:v>
                </c:pt>
                <c:pt idx="11">
                  <c:v>0.5203667625412054</c:v>
                </c:pt>
                <c:pt idx="12">
                  <c:v>0.60618262763499764</c:v>
                </c:pt>
                <c:pt idx="13">
                  <c:v>0.41734986278547148</c:v>
                </c:pt>
                <c:pt idx="14">
                  <c:v>0.55686493185592656</c:v>
                </c:pt>
                <c:pt idx="15">
                  <c:v>0.58432333190944719</c:v>
                </c:pt>
                <c:pt idx="16">
                  <c:v>0.56138730489788657</c:v>
                </c:pt>
                <c:pt idx="17">
                  <c:v>0.46611109700609699</c:v>
                </c:pt>
                <c:pt idx="18">
                  <c:v>0.60489734829911701</c:v>
                </c:pt>
                <c:pt idx="19">
                  <c:v>0.54190745141752861</c:v>
                </c:pt>
                <c:pt idx="20">
                  <c:v>0.50592189335027693</c:v>
                </c:pt>
                <c:pt idx="21">
                  <c:v>0.68998927936443621</c:v>
                </c:pt>
                <c:pt idx="22">
                  <c:v>0.62329058671897064</c:v>
                </c:pt>
                <c:pt idx="23">
                  <c:v>0.47682177363862294</c:v>
                </c:pt>
                <c:pt idx="24">
                  <c:v>0.44425767847916869</c:v>
                </c:pt>
                <c:pt idx="25">
                  <c:v>0.56746216042913178</c:v>
                </c:pt>
                <c:pt idx="26">
                  <c:v>0.5872510998192717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9-464A-A938-A8FF9A08D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70367"/>
        <c:axId val="812672287"/>
      </c:scatterChart>
      <c:valAx>
        <c:axId val="81267036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72287"/>
        <c:crosses val="autoZero"/>
        <c:crossBetween val="midCat"/>
      </c:valAx>
      <c:valAx>
        <c:axId val="8126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67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Rural+Urban Inflation on Food bucket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Rural+Urban Inflation on Food bucket</a:t>
          </a:r>
        </a:p>
      </cx:txPr>
    </cx:title>
    <cx:plotArea>
      <cx:plotAreaRegion>
        <cx:series layoutId="waterfall" uniqueId="{6E956F27-4DB2-4847-B993-8EB3F05B56EA}">
          <cx:tx>
            <cx:txData>
              <cx:f>_xlchart.v1.4</cx:f>
              <cx:v>R+U Inflation</cx:v>
            </cx:txData>
          </cx:tx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 cap="flat">
                  <a:solidFill>
                    <a:schemeClr val="accent5">
                      <a:alpha val="91000"/>
                    </a:schemeClr>
                  </a:solidFill>
                </a:ln>
              </a:defRPr>
            </a:pPr>
            <a:endParaRPr lang="en-US" sz="900" b="0" i="0" u="none" strike="noStrike" baseline="0">
              <a:ln cap="flat">
                <a:solidFill>
                  <a:schemeClr val="accent5">
                    <a:alpha val="91000"/>
                  </a:schemeClr>
                </a:solidFill>
              </a:ln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t" align="ctr" overlay="0"/>
  </cx:chart>
  <cx:spPr>
    <a:effectLst>
      <a:glow rad="139700">
        <a:schemeClr val="accent3">
          <a:satMod val="175000"/>
          <a:alpha val="40000"/>
        </a:schemeClr>
      </a:glow>
    </a:effectLst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r>
              <a:rPr lang="en-IN" sz="1600" b="1" i="0" baseline="0">
                <a:solidFill>
                  <a:schemeClr val="accent4">
                    <a:lumMod val="40000"/>
                    <a:lumOff val="60000"/>
                  </a:schemeClr>
                </a:solidFill>
                <a:effectLst/>
              </a:rPr>
              <a:t>Month-on-Month Inflation Analysis for Food</a:t>
            </a:r>
            <a:endParaRPr lang="en-IN" sz="1400">
              <a:solidFill>
                <a:schemeClr val="accent4">
                  <a:lumMod val="40000"/>
                  <a:lumOff val="60000"/>
                </a:schemeClr>
              </a:solidFill>
              <a:effectLst/>
            </a:endParaRPr>
          </a:p>
        </cx:rich>
      </cx:tx>
    </cx:title>
    <cx:plotArea>
      <cx:plotAreaRegion>
        <cx:plotSurface>
          <cx:spPr>
            <a:effectLst>
              <a:glow rad="139700">
                <a:schemeClr val="accent3">
                  <a:satMod val="175000"/>
                  <a:alpha val="40000"/>
                </a:schemeClr>
              </a:glow>
            </a:effectLst>
          </cx:spPr>
        </cx:plotSurface>
        <cx:series layoutId="waterfall" uniqueId="{E07B861C-5F74-ED44-8FB4-A53561FF6AD8}">
          <cx:tx>
            <cx:txData>
              <cx:f>_xlchart.v1.1</cx:f>
              <cx:v>% Inflation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b="1"/>
                </a:pPr>
                <a:endParaRPr lang="en-GB" sz="1050" b="1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/>
            </a:pPr>
            <a:endParaRPr lang="en-GB" sz="110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GB" sz="12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  <cx:spPr>
    <a:effectLst>
      <a:glow rad="101600">
        <a:schemeClr val="accent3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</a:effectLst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Rural+Urban Inflation on Food bucket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Rural+Urban Inflation on Food bucket</a:t>
          </a:r>
        </a:p>
      </cx:txPr>
    </cx:title>
    <cx:plotArea>
      <cx:plotAreaRegion>
        <cx:series layoutId="waterfall" uniqueId="{6E956F27-4DB2-4847-B993-8EB3F05B56EA}">
          <cx:tx>
            <cx:txData>
              <cx:f>_xlchart.v1.7</cx:f>
              <cx:v>R+U Inflation</cx:v>
            </cx:txData>
          </cx:tx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 cap="flat">
                  <a:solidFill>
                    <a:schemeClr val="accent5">
                      <a:alpha val="91000"/>
                    </a:schemeClr>
                  </a:solidFill>
                </a:ln>
              </a:defRPr>
            </a:pPr>
            <a:endParaRPr lang="en-US" sz="900" b="0" i="0" u="none" strike="noStrike" baseline="0">
              <a:ln cap="flat">
                <a:solidFill>
                  <a:schemeClr val="accent5">
                    <a:alpha val="91000"/>
                  </a:schemeClr>
                </a:solidFill>
              </a:ln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/>
    <cx:plotArea>
      <cx:plotAreaRegion>
        <cx:series layoutId="waterfall" uniqueId="{E07B861C-5F74-ED44-8FB4-A53561FF6AD8}">
          <cx:tx>
            <cx:txData>
              <cx:f>_xlchart.v1.10</cx:f>
              <cx:v>% Inflation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="1"/>
                </a:pPr>
                <a:endParaRPr lang="en-GB" sz="1400" b="1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 b="1"/>
            </a:pPr>
            <a:endParaRPr lang="en-GB" sz="160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endParaRPr lang="en-GB" sz="20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/>
    <cx:plotArea>
      <cx:plotAreaRegion>
        <cx:series layoutId="waterfall" uniqueId="{E7417D49-2F89-8C40-B7BB-81F0D5BE0957}">
          <cx:tx>
            <cx:txData>
              <cx:f>_xlchart.v1.13</cx:f>
              <cx:v>Rural+Urban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="1"/>
                </a:pPr>
                <a:endParaRPr lang="en-GB" sz="14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400" b="1"/>
                  </a:pPr>
                  <a:r>
                    <a:rPr lang="en-GB" sz="24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0.010123735</a:t>
                  </a:r>
                </a:p>
              </cx:txPr>
            </cx:dataLabel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/>
            </a:pPr>
            <a:endPara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 b="1"/>
          </a:pPr>
          <a:endParaRPr lang="en-GB" sz="20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/>
    <cx:plotArea>
      <cx:plotAreaRegion>
        <cx:series layoutId="waterfall" uniqueId="{E07B861C-5F74-ED44-8FB4-A53561FF6AD8}">
          <cx:tx>
            <cx:txData>
              <cx:f>_xlchart.v1.16</cx:f>
              <cx:v>% Inflation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="1"/>
                </a:pPr>
                <a:endParaRPr lang="en-GB" sz="1400" b="1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 b="1"/>
            </a:pPr>
            <a:endParaRPr lang="en-GB" sz="1600" b="1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000"/>
          </a:pPr>
          <a:endParaRPr lang="en-GB" sz="20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8.emf"/><Relationship Id="rId7" Type="http://schemas.openxmlformats.org/officeDocument/2006/relationships/chart" Target="../charts/chart3.xml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microsoft.com/office/2014/relationships/chartEx" Target="../charts/chartEx2.xml"/><Relationship Id="rId10" Type="http://schemas.openxmlformats.org/officeDocument/2006/relationships/chart" Target="../charts/chart5.xml"/><Relationship Id="rId4" Type="http://schemas.microsoft.com/office/2014/relationships/chartEx" Target="../charts/chartEx1.xml"/><Relationship Id="rId9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openxmlformats.org/officeDocument/2006/relationships/chart" Target="../charts/chart15.xml"/><Relationship Id="rId1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openxmlformats.org/officeDocument/2006/relationships/chart" Target="../charts/chart16.xml"/><Relationship Id="rId4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5</xdr:row>
      <xdr:rowOff>167639</xdr:rowOff>
    </xdr:from>
    <xdr:to>
      <xdr:col>10</xdr:col>
      <xdr:colOff>358139</xdr:colOff>
      <xdr:row>19</xdr:row>
      <xdr:rowOff>18790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E6D51F-9671-EE37-8F61-F0292AFC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" y="1082039"/>
          <a:ext cx="5638799" cy="2411471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220981</xdr:colOff>
      <xdr:row>21</xdr:row>
      <xdr:rowOff>160021</xdr:rowOff>
    </xdr:from>
    <xdr:to>
      <xdr:col>10</xdr:col>
      <xdr:colOff>403860</xdr:colOff>
      <xdr:row>32</xdr:row>
      <xdr:rowOff>125822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CC41FF2-E5F5-BC49-42AD-71E523EDC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1" y="4000501"/>
          <a:ext cx="5669279" cy="1977481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205741</xdr:colOff>
      <xdr:row>35</xdr:row>
      <xdr:rowOff>160020</xdr:rowOff>
    </xdr:from>
    <xdr:to>
      <xdr:col>10</xdr:col>
      <xdr:colOff>401758</xdr:colOff>
      <xdr:row>48</xdr:row>
      <xdr:rowOff>135683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6ADBCCD-34E1-C72C-23F6-C7B30B55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1" y="6560820"/>
          <a:ext cx="5682417" cy="2353103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51</xdr:row>
      <xdr:rowOff>152400</xdr:rowOff>
    </xdr:from>
    <xdr:to>
      <xdr:col>10</xdr:col>
      <xdr:colOff>419099</xdr:colOff>
      <xdr:row>61</xdr:row>
      <xdr:rowOff>143015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7FC34CF-145A-F9EC-68AF-89C252879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" y="9479280"/>
          <a:ext cx="5707379" cy="1819415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175261</xdr:colOff>
      <xdr:row>65</xdr:row>
      <xdr:rowOff>1</xdr:rowOff>
    </xdr:from>
    <xdr:to>
      <xdr:col>10</xdr:col>
      <xdr:colOff>450409</xdr:colOff>
      <xdr:row>77</xdr:row>
      <xdr:rowOff>60961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AEA4111-2F69-6D6C-DA45-B94FB8957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1" y="11887201"/>
          <a:ext cx="5761548" cy="2255520"/>
        </a:xfrm>
        <a:prstGeom prst="rect">
          <a:avLst/>
        </a:prstGeom>
      </xdr:spPr>
    </xdr:pic>
    <xdr:clientData/>
  </xdr:twoCellAnchor>
  <xdr:twoCellAnchor>
    <xdr:from>
      <xdr:col>3</xdr:col>
      <xdr:colOff>175260</xdr:colOff>
      <xdr:row>2</xdr:row>
      <xdr:rowOff>30480</xdr:rowOff>
    </xdr:from>
    <xdr:to>
      <xdr:col>8</xdr:col>
      <xdr:colOff>160020</xdr:colOff>
      <xdr:row>5</xdr:row>
      <xdr:rowOff>7620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8B9AED8-3C5C-35DD-492A-EF18E41B65CF}"/>
            </a:ext>
          </a:extLst>
        </xdr:cNvPr>
        <xdr:cNvSpPr txBox="1"/>
      </xdr:nvSpPr>
      <xdr:spPr>
        <a:xfrm>
          <a:off x="2004060" y="396240"/>
          <a:ext cx="303276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 u="sng">
              <a:solidFill>
                <a:schemeClr val="accent2">
                  <a:lumMod val="7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Arial" panose="020B0604020202020204" pitchFamily="34" charset="0"/>
            </a:rPr>
            <a:t>PROBLEM STATEMENTS</a:t>
          </a:r>
        </a:p>
      </xdr:txBody>
    </xdr:sp>
    <xdr:clientData/>
  </xdr:twoCellAnchor>
  <xdr:twoCellAnchor editAs="oneCell">
    <xdr:from>
      <xdr:col>1</xdr:col>
      <xdr:colOff>160020</xdr:colOff>
      <xdr:row>79</xdr:row>
      <xdr:rowOff>160020</xdr:rowOff>
    </xdr:from>
    <xdr:to>
      <xdr:col>10</xdr:col>
      <xdr:colOff>446654</xdr:colOff>
      <xdr:row>103</xdr:row>
      <xdr:rowOff>126513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0717D7C-780B-D095-5B94-5EE5BD1A4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" y="14607540"/>
          <a:ext cx="5773034" cy="43556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588982</xdr:colOff>
      <xdr:row>9</xdr:row>
      <xdr:rowOff>0</xdr:rowOff>
    </xdr:from>
    <xdr:to>
      <xdr:col>17</xdr:col>
      <xdr:colOff>478583</xdr:colOff>
      <xdr:row>63</xdr:row>
      <xdr:rowOff>20052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29D49E-E4F3-8EB8-401B-0A6FEE48FFF2}"/>
            </a:ext>
          </a:extLst>
        </xdr:cNvPr>
        <xdr:cNvSpPr/>
      </xdr:nvSpPr>
      <xdr:spPr>
        <a:xfrm>
          <a:off x="1200587" y="721895"/>
          <a:ext cx="9675285" cy="9765631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199571</xdr:colOff>
      <xdr:row>10</xdr:row>
      <xdr:rowOff>72571</xdr:rowOff>
    </xdr:from>
    <xdr:to>
      <xdr:col>14</xdr:col>
      <xdr:colOff>145143</xdr:colOff>
      <xdr:row>13</xdr:row>
      <xdr:rowOff>127000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E74C9E5-1142-18E4-2BA8-DA39E959DC0C}"/>
            </a:ext>
          </a:extLst>
        </xdr:cNvPr>
        <xdr:cNvSpPr/>
      </xdr:nvSpPr>
      <xdr:spPr>
        <a:xfrm>
          <a:off x="3238500" y="979714"/>
          <a:ext cx="5415643" cy="59871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 u="sng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CPI INFLATION STUDY</a:t>
          </a:r>
        </a:p>
      </xdr:txBody>
    </xdr:sp>
    <xdr:clientData/>
  </xdr:twoCellAnchor>
  <xdr:twoCellAnchor>
    <xdr:from>
      <xdr:col>3</xdr:col>
      <xdr:colOff>318303</xdr:colOff>
      <xdr:row>14</xdr:row>
      <xdr:rowOff>106102</xdr:rowOff>
    </xdr:from>
    <xdr:to>
      <xdr:col>15</xdr:col>
      <xdr:colOff>569089</xdr:colOff>
      <xdr:row>17</xdr:row>
      <xdr:rowOff>86810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E1C2ED9-A0D6-F20E-B015-FA9FCF74F2E9}"/>
            </a:ext>
          </a:extLst>
        </xdr:cNvPr>
        <xdr:cNvSpPr/>
      </xdr:nvSpPr>
      <xdr:spPr>
        <a:xfrm>
          <a:off x="2141316" y="1755494"/>
          <a:ext cx="7542836" cy="530506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ysClr val="windowText" lastClr="000000"/>
              </a:solidFill>
            </a:rPr>
            <a:t>FOOD HAS</a:t>
          </a:r>
          <a:r>
            <a:rPr lang="en-IN" sz="1800" b="1" baseline="0">
              <a:solidFill>
                <a:sysClr val="windowText" lastClr="000000"/>
              </a:solidFill>
            </a:rPr>
            <a:t> THE HIGHEST CONTRIBUTION IN THE CPI ANALYSIS</a:t>
          </a:r>
          <a:endParaRPr lang="en-I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200135</xdr:colOff>
      <xdr:row>21</xdr:row>
      <xdr:rowOff>1392</xdr:rowOff>
    </xdr:from>
    <xdr:to>
      <xdr:col>10</xdr:col>
      <xdr:colOff>367393</xdr:colOff>
      <xdr:row>38</xdr:row>
      <xdr:rowOff>13607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5EBEB8-4BF6-47B7-A375-F5A31F6F7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491924</xdr:colOff>
      <xdr:row>26</xdr:row>
      <xdr:rowOff>108341</xdr:rowOff>
    </xdr:from>
    <xdr:to>
      <xdr:col>17</xdr:col>
      <xdr:colOff>163974</xdr:colOff>
      <xdr:row>38</xdr:row>
      <xdr:rowOff>8613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5226C1C-4BBD-C1A3-9494-4AC49A8177C2}"/>
            </a:ext>
          </a:extLst>
        </xdr:cNvPr>
        <xdr:cNvSpPr/>
      </xdr:nvSpPr>
      <xdr:spPr>
        <a:xfrm>
          <a:off x="6615138" y="3823091"/>
          <a:ext cx="3958300" cy="2022986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r>
            <a:rPr lang="en-GB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GB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Food holds the highest weightage in CPI calculation at 50%, followed by Miscellaneous at 19%.</a:t>
          </a:r>
        </a:p>
        <a:p>
          <a:endParaRPr lang="en-IN" sz="1400" b="1">
            <a:solidFill>
              <a:sysClr val="windowText" lastClr="000000"/>
            </a:solidFill>
            <a:effectLst/>
          </a:endParaRPr>
        </a:p>
        <a:p>
          <a:r>
            <a:rPr lang="en-GB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2. Apparel</a:t>
          </a:r>
          <a:r>
            <a:rPr lang="en-GB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also makes a significant contributions</a:t>
          </a:r>
          <a:r>
            <a:rPr lang="en-GB" sz="1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towards CPI </a:t>
          </a:r>
          <a:r>
            <a:rPr lang="en-GB" sz="1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comprising 12% collectively.</a:t>
          </a:r>
          <a:endParaRPr lang="en-IN" sz="1400" b="1">
            <a:solidFill>
              <a:sysClr val="windowText" lastClr="000000"/>
            </a:solidFill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491923</xdr:colOff>
      <xdr:row>25</xdr:row>
      <xdr:rowOff>106101</xdr:rowOff>
    </xdr:from>
    <xdr:to>
      <xdr:col>13</xdr:col>
      <xdr:colOff>443695</xdr:colOff>
      <xdr:row>27</xdr:row>
      <xdr:rowOff>144684</xdr:rowOff>
    </xdr:to>
    <xdr:sp macro="" textlink="">
      <xdr:nvSpPr>
        <xdr:cNvPr id="10" name="Rectangle: Diagonal Corners Rounded 9">
          <a:extLst>
            <a:ext uri="{FF2B5EF4-FFF2-40B4-BE49-F238E27FC236}">
              <a16:creationId xmlns:a16="http://schemas.microsoft.com/office/drawing/2014/main" id="{40680F44-3A83-A2B9-C008-95B7F72EE002}"/>
            </a:ext>
          </a:extLst>
        </xdr:cNvPr>
        <xdr:cNvSpPr/>
      </xdr:nvSpPr>
      <xdr:spPr>
        <a:xfrm>
          <a:off x="6568632" y="3771417"/>
          <a:ext cx="1774785" cy="405115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INSIGHTS</a:t>
          </a:r>
        </a:p>
      </xdr:txBody>
    </xdr:sp>
    <xdr:clientData/>
  </xdr:twoCellAnchor>
  <xdr:twoCellAnchor>
    <xdr:from>
      <xdr:col>2</xdr:col>
      <xdr:colOff>244927</xdr:colOff>
      <xdr:row>49</xdr:row>
      <xdr:rowOff>68036</xdr:rowOff>
    </xdr:from>
    <xdr:to>
      <xdr:col>17</xdr:col>
      <xdr:colOff>190500</xdr:colOff>
      <xdr:row>52</xdr:row>
      <xdr:rowOff>161193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E524FAA-ADB2-15D3-819E-8D13F8FF1F4D}"/>
            </a:ext>
          </a:extLst>
        </xdr:cNvPr>
        <xdr:cNvSpPr/>
      </xdr:nvSpPr>
      <xdr:spPr>
        <a:xfrm>
          <a:off x="1475850" y="7805267"/>
          <a:ext cx="9177496" cy="62069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Note:- </a:t>
          </a:r>
          <a:r>
            <a:rPr lang="en-IN" sz="16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Consumer Price Index (CPI) in India typically consists of 23 major items that are divided into 8 major categories. </a:t>
          </a:r>
          <a:r>
            <a:rPr lang="en-IN" sz="16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categories are</a:t>
          </a:r>
          <a:r>
            <a:rPr lang="en-IN" sz="16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follows:</a:t>
          </a:r>
          <a:endParaRPr lang="en-IN" sz="1600" i="1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278424</xdr:colOff>
      <xdr:row>39</xdr:row>
      <xdr:rowOff>134125</xdr:rowOff>
    </xdr:from>
    <xdr:to>
      <xdr:col>17</xdr:col>
      <xdr:colOff>173183</xdr:colOff>
      <xdr:row>47</xdr:row>
      <xdr:rowOff>138545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84BE231-9A94-41DB-A76F-F69CB505A5C6}"/>
            </a:ext>
          </a:extLst>
        </xdr:cNvPr>
        <xdr:cNvSpPr/>
      </xdr:nvSpPr>
      <xdr:spPr>
        <a:xfrm>
          <a:off x="1490697" y="6611125"/>
          <a:ext cx="8986804" cy="15284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278423</xdr:colOff>
      <xdr:row>39</xdr:row>
      <xdr:rowOff>14656</xdr:rowOff>
    </xdr:from>
    <xdr:to>
      <xdr:col>13</xdr:col>
      <xdr:colOff>0</xdr:colOff>
      <xdr:row>41</xdr:row>
      <xdr:rowOff>73269</xdr:rowOff>
    </xdr:to>
    <xdr:sp macro="" textlink="">
      <xdr:nvSpPr>
        <xdr:cNvPr id="18" name="Rectangle: Diagonal Corners Rounded 17">
          <a:extLst>
            <a:ext uri="{FF2B5EF4-FFF2-40B4-BE49-F238E27FC236}">
              <a16:creationId xmlns:a16="http://schemas.microsoft.com/office/drawing/2014/main" id="{EF19552A-69B0-4DBE-A5C7-FB015B25B621}"/>
            </a:ext>
          </a:extLst>
        </xdr:cNvPr>
        <xdr:cNvSpPr/>
      </xdr:nvSpPr>
      <xdr:spPr>
        <a:xfrm>
          <a:off x="1509346" y="5993425"/>
          <a:ext cx="6491654" cy="410306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contributions of different sectors towards</a:t>
          </a:r>
          <a:r>
            <a:rPr lang="en-IN" sz="1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CPI basket</a:t>
          </a:r>
          <a:endParaRPr lang="en-IN" sz="1600">
            <a:solidFill>
              <a:sysClr val="windowText" lastClr="000000"/>
            </a:solidFill>
            <a:effectLst/>
          </a:endParaRPr>
        </a:p>
        <a:p>
          <a:pPr algn="l"/>
          <a:endParaRPr lang="en-IN" sz="1800" b="1"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 editAs="oneCell">
    <xdr:from>
      <xdr:col>2</xdr:col>
      <xdr:colOff>381000</xdr:colOff>
      <xdr:row>42</xdr:row>
      <xdr:rowOff>17318</xdr:rowOff>
    </xdr:from>
    <xdr:to>
      <xdr:col>17</xdr:col>
      <xdr:colOff>103910</xdr:colOff>
      <xdr:row>47</xdr:row>
      <xdr:rowOff>72672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6B75C79-0583-DDED-BDF1-202765235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273" y="7065818"/>
          <a:ext cx="8814955" cy="1007853"/>
        </a:xfrm>
        <a:prstGeom prst="rect">
          <a:avLst/>
        </a:prstGeom>
      </xdr:spPr>
    </xdr:pic>
    <xdr:clientData/>
  </xdr:twoCellAnchor>
  <xdr:twoCellAnchor>
    <xdr:from>
      <xdr:col>2</xdr:col>
      <xdr:colOff>240632</xdr:colOff>
      <xdr:row>52</xdr:row>
      <xdr:rowOff>170447</xdr:rowOff>
    </xdr:from>
    <xdr:to>
      <xdr:col>17</xdr:col>
      <xdr:colOff>190500</xdr:colOff>
      <xdr:row>62</xdr:row>
      <xdr:rowOff>10027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B20A221-0A28-0250-9F01-02C96D293145}"/>
            </a:ext>
          </a:extLst>
        </xdr:cNvPr>
        <xdr:cNvSpPr/>
      </xdr:nvSpPr>
      <xdr:spPr>
        <a:xfrm>
          <a:off x="1463843" y="8652710"/>
          <a:ext cx="9123946" cy="164431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Food</a:t>
          </a:r>
          <a:r>
            <a:rPr lang="en-IN"/>
            <a:t> :-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Cereals and products,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Meat and fish,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Egg,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Milk and products,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Oils and fat,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Fruits,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Vegetables,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Pulses and products,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Sugar and Confectionery,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Spices,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Non-alcoholic beverages,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Prepared meals, snacks, sweets etc.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Food and beverages.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Miscellaneous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:-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Household goods and services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 and communication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Recreation and amusement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Personal care and effects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Miscellaneous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>
            <a:effectLst/>
          </a:endParaRP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Intoxicants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Pan, tobacco and intoxicants</a:t>
          </a:r>
          <a:r>
            <a:rPr lang="en-IN"/>
            <a:t> </a:t>
          </a: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Apparel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Clothing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Footwear</a:t>
          </a:r>
          <a:r>
            <a:rPr lang="en-IN"/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Clothing and footwear</a:t>
          </a:r>
          <a:r>
            <a:rPr lang="en-IN"/>
            <a:t> </a:t>
          </a: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Housing</a:t>
          </a:r>
          <a:r>
            <a:rPr lang="en-IN"/>
            <a:t> </a:t>
          </a:r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Fuel and light</a:t>
          </a:r>
          <a:r>
            <a:rPr lang="en-IN" b="1"/>
            <a:t> </a:t>
          </a: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r>
            <a:rPr lang="en-IN"/>
            <a:t>  </a:t>
          </a: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r>
            <a:rPr lang="en-IN"/>
            <a:t> 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321469</xdr:colOff>
      <xdr:row>4</xdr:row>
      <xdr:rowOff>107156</xdr:rowOff>
    </xdr:from>
    <xdr:to>
      <xdr:col>11</xdr:col>
      <xdr:colOff>273844</xdr:colOff>
      <xdr:row>7</xdr:row>
      <xdr:rowOff>1</xdr:rowOff>
    </xdr:to>
    <xdr:sp macro="" textlink="">
      <xdr:nvSpPr>
        <xdr:cNvPr id="29" name="Flowchart: Terminator 28">
          <a:extLst>
            <a:ext uri="{FF2B5EF4-FFF2-40B4-BE49-F238E27FC236}">
              <a16:creationId xmlns:a16="http://schemas.microsoft.com/office/drawing/2014/main" id="{451666E4-ECE7-4B06-4F91-A9745E4F55F3}"/>
            </a:ext>
          </a:extLst>
        </xdr:cNvPr>
        <xdr:cNvSpPr/>
      </xdr:nvSpPr>
      <xdr:spPr>
        <a:xfrm>
          <a:off x="5179219" y="821531"/>
          <a:ext cx="1774031" cy="428626"/>
        </a:xfrm>
        <a:prstGeom prst="flowChartTerminator">
          <a:avLst/>
        </a:prstGeom>
        <a:effectLst>
          <a:innerShdw blurRad="114300">
            <a:prstClr val="black"/>
          </a:inn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OBJECTIVE 1</a:t>
          </a:r>
        </a:p>
      </xdr:txBody>
    </xdr:sp>
    <xdr:clientData/>
  </xdr:twoCellAnchor>
  <xdr:twoCellAnchor>
    <xdr:from>
      <xdr:col>26</xdr:col>
      <xdr:colOff>162128</xdr:colOff>
      <xdr:row>3</xdr:row>
      <xdr:rowOff>162128</xdr:rowOff>
    </xdr:from>
    <xdr:to>
      <xdr:col>28</xdr:col>
      <xdr:colOff>471184</xdr:colOff>
      <xdr:row>6</xdr:row>
      <xdr:rowOff>54972</xdr:rowOff>
    </xdr:to>
    <xdr:sp macro="" textlink="">
      <xdr:nvSpPr>
        <xdr:cNvPr id="30" name="Flowchart: Terminator 29">
          <a:extLst>
            <a:ext uri="{FF2B5EF4-FFF2-40B4-BE49-F238E27FC236}">
              <a16:creationId xmlns:a16="http://schemas.microsoft.com/office/drawing/2014/main" id="{9F3482F5-D6A8-4543-A20E-09FE4637EABA}"/>
            </a:ext>
          </a:extLst>
        </xdr:cNvPr>
        <xdr:cNvSpPr/>
      </xdr:nvSpPr>
      <xdr:spPr>
        <a:xfrm>
          <a:off x="17007192" y="697149"/>
          <a:ext cx="1800630" cy="427866"/>
        </a:xfrm>
        <a:prstGeom prst="flowChartTerminator">
          <a:avLst/>
        </a:prstGeom>
        <a:effectLst>
          <a:innerShdw blurRad="114300">
            <a:prstClr val="black"/>
          </a:inn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OBJECTIVE 2</a:t>
          </a:r>
        </a:p>
      </xdr:txBody>
    </xdr:sp>
    <xdr:clientData/>
  </xdr:twoCellAnchor>
  <xdr:twoCellAnchor>
    <xdr:from>
      <xdr:col>20</xdr:col>
      <xdr:colOff>547291</xdr:colOff>
      <xdr:row>9</xdr:row>
      <xdr:rowOff>69233</xdr:rowOff>
    </xdr:from>
    <xdr:to>
      <xdr:col>34</xdr:col>
      <xdr:colOff>582807</xdr:colOff>
      <xdr:row>61</xdr:row>
      <xdr:rowOff>108857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12148F6-6660-4958-80A2-ABA474026AAE}"/>
            </a:ext>
          </a:extLst>
        </xdr:cNvPr>
        <xdr:cNvSpPr/>
      </xdr:nvSpPr>
      <xdr:spPr>
        <a:xfrm>
          <a:off x="12642529" y="1702090"/>
          <a:ext cx="9627040" cy="9473910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44</xdr:col>
      <xdr:colOff>599873</xdr:colOff>
      <xdr:row>3</xdr:row>
      <xdr:rowOff>145915</xdr:rowOff>
    </xdr:from>
    <xdr:to>
      <xdr:col>47</xdr:col>
      <xdr:colOff>552248</xdr:colOff>
      <xdr:row>6</xdr:row>
      <xdr:rowOff>38759</xdr:rowOff>
    </xdr:to>
    <xdr:sp macro="" textlink="">
      <xdr:nvSpPr>
        <xdr:cNvPr id="32" name="Flowchart: Terminator 31">
          <a:extLst>
            <a:ext uri="{FF2B5EF4-FFF2-40B4-BE49-F238E27FC236}">
              <a16:creationId xmlns:a16="http://schemas.microsoft.com/office/drawing/2014/main" id="{E97D79EE-6F46-4B0C-93AF-CB66451A7959}"/>
            </a:ext>
          </a:extLst>
        </xdr:cNvPr>
        <xdr:cNvSpPr/>
      </xdr:nvSpPr>
      <xdr:spPr>
        <a:xfrm>
          <a:off x="28793873" y="680936"/>
          <a:ext cx="1800630" cy="427866"/>
        </a:xfrm>
        <a:prstGeom prst="flowChartTerminator">
          <a:avLst/>
        </a:prstGeom>
        <a:effectLst>
          <a:innerShdw blurRad="114300">
            <a:prstClr val="black"/>
          </a:inn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OBJECTIVE 3</a:t>
          </a:r>
        </a:p>
      </xdr:txBody>
    </xdr:sp>
    <xdr:clientData/>
  </xdr:twoCellAnchor>
  <xdr:twoCellAnchor>
    <xdr:from>
      <xdr:col>38</xdr:col>
      <xdr:colOff>46182</xdr:colOff>
      <xdr:row>9</xdr:row>
      <xdr:rowOff>46181</xdr:rowOff>
    </xdr:from>
    <xdr:to>
      <xdr:col>55</xdr:col>
      <xdr:colOff>84117</xdr:colOff>
      <xdr:row>75</xdr:row>
      <xdr:rowOff>92364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9C9F000-2FC1-435D-AE3F-92D27FDB4485}"/>
            </a:ext>
          </a:extLst>
        </xdr:cNvPr>
        <xdr:cNvSpPr/>
      </xdr:nvSpPr>
      <xdr:spPr>
        <a:xfrm>
          <a:off x="24014546" y="1708726"/>
          <a:ext cx="10244116" cy="12076547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64</xdr:col>
      <xdr:colOff>113490</xdr:colOff>
      <xdr:row>3</xdr:row>
      <xdr:rowOff>145915</xdr:rowOff>
    </xdr:from>
    <xdr:to>
      <xdr:col>67</xdr:col>
      <xdr:colOff>65865</xdr:colOff>
      <xdr:row>6</xdr:row>
      <xdr:rowOff>38759</xdr:rowOff>
    </xdr:to>
    <xdr:sp macro="" textlink="">
      <xdr:nvSpPr>
        <xdr:cNvPr id="34" name="Flowchart: Terminator 33">
          <a:extLst>
            <a:ext uri="{FF2B5EF4-FFF2-40B4-BE49-F238E27FC236}">
              <a16:creationId xmlns:a16="http://schemas.microsoft.com/office/drawing/2014/main" id="{E2B1E937-4A4E-4361-A919-84E3030DD25D}"/>
            </a:ext>
          </a:extLst>
        </xdr:cNvPr>
        <xdr:cNvSpPr/>
      </xdr:nvSpPr>
      <xdr:spPr>
        <a:xfrm>
          <a:off x="40629192" y="680936"/>
          <a:ext cx="1800630" cy="427866"/>
        </a:xfrm>
        <a:prstGeom prst="flowChartTerminator">
          <a:avLst/>
        </a:prstGeom>
        <a:effectLst>
          <a:innerShdw blurRad="114300">
            <a:prstClr val="black"/>
          </a:inn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OBJECTIVE 4</a:t>
          </a:r>
        </a:p>
      </xdr:txBody>
    </xdr:sp>
    <xdr:clientData/>
  </xdr:twoCellAnchor>
  <xdr:twoCellAnchor>
    <xdr:from>
      <xdr:col>57</xdr:col>
      <xdr:colOff>510060</xdr:colOff>
      <xdr:row>7</xdr:row>
      <xdr:rowOff>123137</xdr:rowOff>
    </xdr:from>
    <xdr:to>
      <xdr:col>73</xdr:col>
      <xdr:colOff>399661</xdr:colOff>
      <xdr:row>69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0AC3397-3B9C-40C3-8298-ED3041745689}"/>
            </a:ext>
          </a:extLst>
        </xdr:cNvPr>
        <xdr:cNvSpPr/>
      </xdr:nvSpPr>
      <xdr:spPr>
        <a:xfrm>
          <a:off x="36065268" y="1431477"/>
          <a:ext cx="9551185" cy="11292485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83</xdr:col>
      <xdr:colOff>178660</xdr:colOff>
      <xdr:row>4</xdr:row>
      <xdr:rowOff>11446</xdr:rowOff>
    </xdr:from>
    <xdr:to>
      <xdr:col>86</xdr:col>
      <xdr:colOff>131035</xdr:colOff>
      <xdr:row>6</xdr:row>
      <xdr:rowOff>83584</xdr:rowOff>
    </xdr:to>
    <xdr:sp macro="" textlink="">
      <xdr:nvSpPr>
        <xdr:cNvPr id="36" name="Flowchart: Terminator 35">
          <a:extLst>
            <a:ext uri="{FF2B5EF4-FFF2-40B4-BE49-F238E27FC236}">
              <a16:creationId xmlns:a16="http://schemas.microsoft.com/office/drawing/2014/main" id="{15D793B9-C5FA-4CAC-B2B0-DD5887E1A850}"/>
            </a:ext>
          </a:extLst>
        </xdr:cNvPr>
        <xdr:cNvSpPr/>
      </xdr:nvSpPr>
      <xdr:spPr>
        <a:xfrm>
          <a:off x="52129131" y="728622"/>
          <a:ext cx="1790139" cy="430727"/>
        </a:xfrm>
        <a:prstGeom prst="flowChartTerminator">
          <a:avLst/>
        </a:prstGeom>
        <a:effectLst>
          <a:innerShdw blurRad="114300">
            <a:prstClr val="black"/>
          </a:innerShdw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OBJECTIVE 5</a:t>
          </a:r>
        </a:p>
      </xdr:txBody>
    </xdr:sp>
    <xdr:clientData/>
  </xdr:twoCellAnchor>
  <xdr:twoCellAnchor>
    <xdr:from>
      <xdr:col>77</xdr:col>
      <xdr:colOff>32426</xdr:colOff>
      <xdr:row>9</xdr:row>
      <xdr:rowOff>32426</xdr:rowOff>
    </xdr:from>
    <xdr:to>
      <xdr:col>92</xdr:col>
      <xdr:colOff>599440</xdr:colOff>
      <xdr:row>56</xdr:row>
      <xdr:rowOff>162560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90BCBEE-43DA-4E81-9DFB-CAD953EAA952}"/>
            </a:ext>
          </a:extLst>
        </xdr:cNvPr>
        <xdr:cNvSpPr/>
      </xdr:nvSpPr>
      <xdr:spPr>
        <a:xfrm>
          <a:off x="48079066" y="1678346"/>
          <a:ext cx="9711014" cy="8725494"/>
        </a:xfrm>
        <a:prstGeom prst="rect">
          <a:avLst/>
        </a:prstGeom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38</xdr:col>
      <xdr:colOff>576942</xdr:colOff>
      <xdr:row>10</xdr:row>
      <xdr:rowOff>145916</xdr:rowOff>
    </xdr:from>
    <xdr:to>
      <xdr:col>54</xdr:col>
      <xdr:colOff>253999</xdr:colOff>
      <xdr:row>14</xdr:row>
      <xdr:rowOff>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A265B5D6-1362-4C4A-864C-0F3A277F89CA}"/>
            </a:ext>
          </a:extLst>
        </xdr:cNvPr>
        <xdr:cNvSpPr/>
      </xdr:nvSpPr>
      <xdr:spPr>
        <a:xfrm>
          <a:off x="24545306" y="1993189"/>
          <a:ext cx="9282875" cy="592993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u="sng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CPI INFLATION STUDY ON FOOD BUCKET CATAGORY</a:t>
          </a:r>
        </a:p>
      </xdr:txBody>
    </xdr:sp>
    <xdr:clientData/>
  </xdr:twoCellAnchor>
  <xdr:twoCellAnchor>
    <xdr:from>
      <xdr:col>40</xdr:col>
      <xdr:colOff>97276</xdr:colOff>
      <xdr:row>14</xdr:row>
      <xdr:rowOff>163235</xdr:rowOff>
    </xdr:from>
    <xdr:to>
      <xdr:col>52</xdr:col>
      <xdr:colOff>356681</xdr:colOff>
      <xdr:row>17</xdr:row>
      <xdr:rowOff>2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B455DEA8-5161-4E4B-9557-46D412CC3363}"/>
            </a:ext>
          </a:extLst>
        </xdr:cNvPr>
        <xdr:cNvSpPr/>
      </xdr:nvSpPr>
      <xdr:spPr>
        <a:xfrm>
          <a:off x="25826936" y="2660001"/>
          <a:ext cx="7652426" cy="371788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ysClr val="windowText" lastClr="000000"/>
              </a:solidFill>
            </a:rPr>
            <a:t>Trend</a:t>
          </a:r>
          <a:r>
            <a:rPr lang="en-IN" sz="1800" b="1" baseline="0">
              <a:solidFill>
                <a:sysClr val="windowText" lastClr="000000"/>
              </a:solidFill>
            </a:rPr>
            <a:t> analysis of i</a:t>
          </a:r>
          <a:r>
            <a:rPr lang="en-IN" sz="1800" b="1">
              <a:solidFill>
                <a:sysClr val="windowText" lastClr="000000"/>
              </a:solidFill>
            </a:rPr>
            <a:t>nflation</a:t>
          </a:r>
          <a:r>
            <a:rPr lang="en-IN" sz="1800" b="1" baseline="0">
              <a:solidFill>
                <a:sysClr val="windowText" lastClr="000000"/>
              </a:solidFill>
            </a:rPr>
            <a:t> of food on </a:t>
          </a:r>
          <a:r>
            <a:rPr lang="en-IN" sz="1800" b="1">
              <a:solidFill>
                <a:sysClr val="windowText" lastClr="000000"/>
              </a:solidFill>
            </a:rPr>
            <a:t>Rural + Urban</a:t>
          </a:r>
        </a:p>
      </xdr:txBody>
    </xdr:sp>
    <xdr:clientData/>
  </xdr:twoCellAnchor>
  <xdr:twoCellAnchor editAs="oneCell">
    <xdr:from>
      <xdr:col>49</xdr:col>
      <xdr:colOff>34897</xdr:colOff>
      <xdr:row>19</xdr:row>
      <xdr:rowOff>54380</xdr:rowOff>
    </xdr:from>
    <xdr:to>
      <xdr:col>54</xdr:col>
      <xdr:colOff>94895</xdr:colOff>
      <xdr:row>35</xdr:row>
      <xdr:rowOff>18094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DFE02CD-FF7D-E3BD-FB49-ECCF67CE6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07261" y="3564198"/>
          <a:ext cx="3061816" cy="2919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529471</xdr:colOff>
      <xdr:row>18</xdr:row>
      <xdr:rowOff>50858</xdr:rowOff>
    </xdr:from>
    <xdr:to>
      <xdr:col>48</xdr:col>
      <xdr:colOff>281836</xdr:colOff>
      <xdr:row>36</xdr:row>
      <xdr:rowOff>108856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2" name="Chart 41">
              <a:extLst>
                <a:ext uri="{FF2B5EF4-FFF2-40B4-BE49-F238E27FC236}">
                  <a16:creationId xmlns:a16="http://schemas.microsoft.com/office/drawing/2014/main" id="{F21317A2-6D41-4DBD-8B20-365AA4281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06791" y="3342698"/>
              <a:ext cx="5848365" cy="3349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38</xdr:col>
      <xdr:colOff>452188</xdr:colOff>
      <xdr:row>38</xdr:row>
      <xdr:rowOff>86289</xdr:rowOff>
    </xdr:from>
    <xdr:to>
      <xdr:col>51</xdr:col>
      <xdr:colOff>183078</xdr:colOff>
      <xdr:row>43</xdr:row>
      <xdr:rowOff>90714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718CF046-378F-45CE-9B37-517B5E4BAAD8}"/>
            </a:ext>
          </a:extLst>
        </xdr:cNvPr>
        <xdr:cNvSpPr/>
      </xdr:nvSpPr>
      <xdr:spPr>
        <a:xfrm>
          <a:off x="24420552" y="7105925"/>
          <a:ext cx="7535617" cy="928062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May 2023 is the month with highest inflation followed by October 2022 as the second highest.</a:t>
          </a:r>
        </a:p>
        <a:p>
          <a:r>
            <a:rPr lang="en-IN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December 2022</a:t>
          </a:r>
          <a:r>
            <a:rPr lang="en-IN" sz="14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February 2023 shows the share decline in the inflation.</a:t>
          </a:r>
          <a:r>
            <a:rPr lang="en-IN" sz="1400"/>
            <a:t> </a:t>
          </a:r>
          <a:endParaRPr lang="en-GB" sz="14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452187</xdr:colOff>
      <xdr:row>37</xdr:row>
      <xdr:rowOff>84050</xdr:rowOff>
    </xdr:from>
    <xdr:to>
      <xdr:col>41</xdr:col>
      <xdr:colOff>407445</xdr:colOff>
      <xdr:row>39</xdr:row>
      <xdr:rowOff>117156</xdr:rowOff>
    </xdr:to>
    <xdr:sp macro="" textlink="">
      <xdr:nvSpPr>
        <xdr:cNvPr id="44" name="Rectangle: Diagonal Corners Rounded 43">
          <a:extLst>
            <a:ext uri="{FF2B5EF4-FFF2-40B4-BE49-F238E27FC236}">
              <a16:creationId xmlns:a16="http://schemas.microsoft.com/office/drawing/2014/main" id="{B24F0424-E944-4336-A5B7-C2DCEA98FA6C}"/>
            </a:ext>
          </a:extLst>
        </xdr:cNvPr>
        <xdr:cNvSpPr/>
      </xdr:nvSpPr>
      <xdr:spPr>
        <a:xfrm>
          <a:off x="24420551" y="6918959"/>
          <a:ext cx="1756349" cy="402561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INSIGHTS</a:t>
          </a:r>
        </a:p>
      </xdr:txBody>
    </xdr:sp>
    <xdr:clientData/>
  </xdr:twoCellAnchor>
  <xdr:twoCellAnchor>
    <xdr:from>
      <xdr:col>38</xdr:col>
      <xdr:colOff>561232</xdr:colOff>
      <xdr:row>44</xdr:row>
      <xdr:rowOff>167608</xdr:rowOff>
    </xdr:from>
    <xdr:to>
      <xdr:col>50</xdr:col>
      <xdr:colOff>28663</xdr:colOff>
      <xdr:row>59</xdr:row>
      <xdr:rowOff>167608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Chart 44">
              <a:extLst>
                <a:ext uri="{FF2B5EF4-FFF2-40B4-BE49-F238E27FC236}">
                  <a16:creationId xmlns:a16="http://schemas.microsoft.com/office/drawing/2014/main" id="{E4AE2B2D-1F6D-4421-AAF1-39ED34A3B2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38552" y="8214328"/>
              <a:ext cx="6782631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38</xdr:col>
      <xdr:colOff>534333</xdr:colOff>
      <xdr:row>62</xdr:row>
      <xdr:rowOff>25026</xdr:rowOff>
    </xdr:from>
    <xdr:to>
      <xdr:col>54</xdr:col>
      <xdr:colOff>300182</xdr:colOff>
      <xdr:row>73</xdr:row>
      <xdr:rowOff>91440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DA05849-74C2-4B79-B7D0-CB2669AA934A}"/>
            </a:ext>
          </a:extLst>
        </xdr:cNvPr>
        <xdr:cNvSpPr/>
      </xdr:nvSpPr>
      <xdr:spPr>
        <a:xfrm>
          <a:off x="24842133" y="11363586"/>
          <a:ext cx="9519449" cy="1910454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Vegetables:-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data demonstrates significant fluctuations, with periods of sharp increases and decreases. Notably, there was a decrease in November and December 2022, contrasting with an increase observed in June 2022.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200">
            <a:effectLst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Fruit:-</a:t>
          </a: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Fruits also exhibited fluctuations, but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less extreme than vegetables. Periods of growth, such as February 2023, were evident, alongside declines, as seen in September 2022.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200">
            <a:effectLst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Between June 2022 and May 2023, Milk and Dairy Products, as well as Prepared Meals, experienced minimal fluctuations in inflation rates, reflecting stability within these sectors.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200">
            <a:effectLst/>
          </a:endParaRPr>
        </a:p>
        <a:p>
          <a:pPr eaLnBrk="1" fontAlgn="auto" latinLnBrk="0" hangingPunct="1"/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Spices are one of the biggest contributor towards inflation followed by Cereals </a:t>
          </a:r>
          <a:endParaRPr lang="en-IN" sz="12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</xdr:txBody>
    </xdr:sp>
    <xdr:clientData/>
  </xdr:twoCellAnchor>
  <xdr:twoCellAnchor>
    <xdr:from>
      <xdr:col>38</xdr:col>
      <xdr:colOff>521194</xdr:colOff>
      <xdr:row>61</xdr:row>
      <xdr:rowOff>1</xdr:rowOff>
    </xdr:from>
    <xdr:to>
      <xdr:col>41</xdr:col>
      <xdr:colOff>594115</xdr:colOff>
      <xdr:row>63</xdr:row>
      <xdr:rowOff>108857</xdr:rowOff>
    </xdr:to>
    <xdr:sp macro="" textlink="">
      <xdr:nvSpPr>
        <xdr:cNvPr id="49" name="Rectangle: Diagonal Corners Rounded 48">
          <a:extLst>
            <a:ext uri="{FF2B5EF4-FFF2-40B4-BE49-F238E27FC236}">
              <a16:creationId xmlns:a16="http://schemas.microsoft.com/office/drawing/2014/main" id="{191F340B-A0B8-4EF4-8EAF-445F01847EBB}"/>
            </a:ext>
          </a:extLst>
        </xdr:cNvPr>
        <xdr:cNvSpPr/>
      </xdr:nvSpPr>
      <xdr:spPr>
        <a:xfrm>
          <a:off x="24489558" y="11268365"/>
          <a:ext cx="1874012" cy="478310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INSIGHTS</a:t>
          </a:r>
        </a:p>
      </xdr:txBody>
    </xdr:sp>
    <xdr:clientData/>
  </xdr:twoCellAnchor>
  <xdr:twoCellAnchor>
    <xdr:from>
      <xdr:col>50</xdr:col>
      <xdr:colOff>195875</xdr:colOff>
      <xdr:row>47</xdr:row>
      <xdr:rowOff>75642</xdr:rowOff>
    </xdr:from>
    <xdr:to>
      <xdr:col>54</xdr:col>
      <xdr:colOff>388962</xdr:colOff>
      <xdr:row>56</xdr:row>
      <xdr:rowOff>75641</xdr:rowOff>
    </xdr:to>
    <xdr:sp macro="" textlink="">
      <xdr:nvSpPr>
        <xdr:cNvPr id="50" name="Rectangle: Diagonal Corners Rounded 49">
          <a:extLst>
            <a:ext uri="{FF2B5EF4-FFF2-40B4-BE49-F238E27FC236}">
              <a16:creationId xmlns:a16="http://schemas.microsoft.com/office/drawing/2014/main" id="{327C675A-0E1D-9661-ACEA-6AE8DD9D1005}"/>
            </a:ext>
          </a:extLst>
        </xdr:cNvPr>
        <xdr:cNvSpPr/>
      </xdr:nvSpPr>
      <xdr:spPr>
        <a:xfrm>
          <a:off x="31368602" y="8757824"/>
          <a:ext cx="2594542" cy="1662544"/>
        </a:xfrm>
        <a:prstGeom prst="round2Diag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Spices, with a </a:t>
          </a:r>
          <a:r>
            <a:rPr lang="en-GB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weightage of 16.60%, </a:t>
          </a: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emerge as one of the primary contributors to inflation</a:t>
          </a:r>
          <a:r>
            <a:rPr lang="en-GB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followed by </a:t>
          </a: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cereals, which account for </a:t>
          </a:r>
          <a:r>
            <a:rPr lang="en-GB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12.09% </a:t>
          </a: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 the inflationary pressures.</a:t>
          </a:r>
          <a:endParaRPr lang="en-IN" sz="14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24</xdr:col>
      <xdr:colOff>190750</xdr:colOff>
      <xdr:row>10</xdr:row>
      <xdr:rowOff>155886</xdr:rowOff>
    </xdr:from>
    <xdr:to>
      <xdr:col>31</xdr:col>
      <xdr:colOff>481379</xdr:colOff>
      <xdr:row>14</xdr:row>
      <xdr:rowOff>23410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B4622726-9CA8-4EF0-85D0-3A2EDAAF6A1D}"/>
            </a:ext>
          </a:extLst>
        </xdr:cNvPr>
        <xdr:cNvSpPr/>
      </xdr:nvSpPr>
      <xdr:spPr>
        <a:xfrm>
          <a:off x="14956297" y="2024943"/>
          <a:ext cx="5380214" cy="615146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 u="sng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CPI INFLATION STUDY</a:t>
          </a:r>
        </a:p>
      </xdr:txBody>
    </xdr:sp>
    <xdr:clientData/>
  </xdr:twoCellAnchor>
  <xdr:twoCellAnchor>
    <xdr:from>
      <xdr:col>22</xdr:col>
      <xdr:colOff>65068</xdr:colOff>
      <xdr:row>15</xdr:row>
      <xdr:rowOff>16888</xdr:rowOff>
    </xdr:from>
    <xdr:to>
      <xdr:col>33</xdr:col>
      <xdr:colOff>230039</xdr:colOff>
      <xdr:row>19</xdr:row>
      <xdr:rowOff>28754</xdr:rowOff>
    </xdr:to>
    <xdr:sp macro="" textlink="">
      <xdr:nvSpPr>
        <xdr:cNvPr id="52" name="Rectangle: Rounded Corners 51">
          <a:extLst>
            <a:ext uri="{FF2B5EF4-FFF2-40B4-BE49-F238E27FC236}">
              <a16:creationId xmlns:a16="http://schemas.microsoft.com/office/drawing/2014/main" id="{958C94C7-4E71-42BB-83CD-D12740E2257F}"/>
            </a:ext>
          </a:extLst>
        </xdr:cNvPr>
        <xdr:cNvSpPr/>
      </xdr:nvSpPr>
      <xdr:spPr>
        <a:xfrm>
          <a:off x="13622917" y="2820473"/>
          <a:ext cx="7669952" cy="759489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ysClr val="windowText" lastClr="000000"/>
              </a:solidFill>
            </a:rPr>
            <a:t>Y-O-Y</a:t>
          </a:r>
          <a:r>
            <a:rPr lang="en-IN" sz="1800" b="1" baseline="0">
              <a:solidFill>
                <a:sysClr val="windowText" lastClr="000000"/>
              </a:solidFill>
            </a:rPr>
            <a:t> CPI inflation rural+urban presenting 2022 to be the year of highest inflation rate</a:t>
          </a:r>
        </a:p>
      </xdr:txBody>
    </xdr:sp>
    <xdr:clientData/>
  </xdr:twoCellAnchor>
  <xdr:twoCellAnchor>
    <xdr:from>
      <xdr:col>21</xdr:col>
      <xdr:colOff>438878</xdr:colOff>
      <xdr:row>21</xdr:row>
      <xdr:rowOff>155886</xdr:rowOff>
    </xdr:from>
    <xdr:to>
      <xdr:col>34</xdr:col>
      <xdr:colOff>100641</xdr:colOff>
      <xdr:row>39</xdr:row>
      <xdr:rowOff>167244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24F95724-2E8F-44E9-A9C5-214FA2D45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408885</xdr:colOff>
      <xdr:row>43</xdr:row>
      <xdr:rowOff>137779</xdr:rowOff>
    </xdr:from>
    <xdr:to>
      <xdr:col>34</xdr:col>
      <xdr:colOff>129396</xdr:colOff>
      <xdr:row>51</xdr:row>
      <xdr:rowOff>137584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C9182A2-B246-49FA-84B7-BE6725B04C6D}"/>
            </a:ext>
          </a:extLst>
        </xdr:cNvPr>
        <xdr:cNvSpPr/>
      </xdr:nvSpPr>
      <xdr:spPr>
        <a:xfrm>
          <a:off x="13299385" y="7874196"/>
          <a:ext cx="8801011" cy="1439138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The highest</a:t>
          </a:r>
          <a:r>
            <a:rPr lang="en-GB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Y-O-Y</a:t>
          </a: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growth rate was recorded in </a:t>
          </a:r>
          <a:r>
            <a:rPr lang="en-GB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2022 at 6.91%.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aseline="0">
              <a:effectLst/>
            </a:rPr>
            <a:t>2. </a:t>
          </a: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inflation was high during 2022 due to several factors, once major factor</a:t>
          </a:r>
          <a:r>
            <a:rPr lang="en-GB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can be </a:t>
          </a: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onset of the </a:t>
          </a:r>
          <a:r>
            <a:rPr lang="en-GB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Russia-Ukraine conflict. </a:t>
          </a:r>
          <a:endParaRPr lang="en-IN" sz="14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</xdr:txBody>
    </xdr:sp>
    <xdr:clientData/>
  </xdr:twoCellAnchor>
  <xdr:twoCellAnchor>
    <xdr:from>
      <xdr:col>21</xdr:col>
      <xdr:colOff>395747</xdr:colOff>
      <xdr:row>42</xdr:row>
      <xdr:rowOff>112753</xdr:rowOff>
    </xdr:from>
    <xdr:to>
      <xdr:col>24</xdr:col>
      <xdr:colOff>51362</xdr:colOff>
      <xdr:row>45</xdr:row>
      <xdr:rowOff>48220</xdr:rowOff>
    </xdr:to>
    <xdr:sp macro="" textlink="">
      <xdr:nvSpPr>
        <xdr:cNvPr id="55" name="Rectangle: Diagonal Corners Rounded 54">
          <a:extLst>
            <a:ext uri="{FF2B5EF4-FFF2-40B4-BE49-F238E27FC236}">
              <a16:creationId xmlns:a16="http://schemas.microsoft.com/office/drawing/2014/main" id="{3F741C0F-5895-4DD7-A67C-EEA330375ECF}"/>
            </a:ext>
          </a:extLst>
        </xdr:cNvPr>
        <xdr:cNvSpPr/>
      </xdr:nvSpPr>
      <xdr:spPr>
        <a:xfrm>
          <a:off x="13076577" y="7962791"/>
          <a:ext cx="1740332" cy="496184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INSIGHTS</a:t>
          </a:r>
        </a:p>
      </xdr:txBody>
    </xdr:sp>
    <xdr:clientData/>
  </xdr:twoCellAnchor>
  <xdr:twoCellAnchor>
    <xdr:from>
      <xdr:col>21</xdr:col>
      <xdr:colOff>418270</xdr:colOff>
      <xdr:row>53</xdr:row>
      <xdr:rowOff>111423</xdr:rowOff>
    </xdr:from>
    <xdr:to>
      <xdr:col>34</xdr:col>
      <xdr:colOff>138781</xdr:colOff>
      <xdr:row>59</xdr:row>
      <xdr:rowOff>169333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54BF5036-C31D-4A1A-A93B-DAC910665D31}"/>
            </a:ext>
          </a:extLst>
        </xdr:cNvPr>
        <xdr:cNvSpPr/>
      </xdr:nvSpPr>
      <xdr:spPr>
        <a:xfrm>
          <a:off x="13118270" y="9727137"/>
          <a:ext cx="8707273" cy="114648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IN" sz="14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>
              <a:effectLst/>
            </a:rPr>
            <a:t>1. The data used in the graph is from 2017 to 2023.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To assess the overall inflation trend consistently, we rely on </a:t>
          </a:r>
          <a:r>
            <a:rPr lang="en-GB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March data annually. 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General Index Data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endParaRPr lang="en-IN" sz="14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  <a:p>
          <a:endParaRPr lang="en-IN" sz="1400">
            <a:effectLst/>
          </a:endParaRPr>
        </a:p>
      </xdr:txBody>
    </xdr:sp>
    <xdr:clientData/>
  </xdr:twoCellAnchor>
  <xdr:twoCellAnchor>
    <xdr:from>
      <xdr:col>21</xdr:col>
      <xdr:colOff>405132</xdr:colOff>
      <xdr:row>52</xdr:row>
      <xdr:rowOff>86395</xdr:rowOff>
    </xdr:from>
    <xdr:to>
      <xdr:col>24</xdr:col>
      <xdr:colOff>60747</xdr:colOff>
      <xdr:row>55</xdr:row>
      <xdr:rowOff>21862</xdr:rowOff>
    </xdr:to>
    <xdr:sp macro="" textlink="">
      <xdr:nvSpPr>
        <xdr:cNvPr id="57" name="Rectangle: Diagonal Corners Rounded 56">
          <a:extLst>
            <a:ext uri="{FF2B5EF4-FFF2-40B4-BE49-F238E27FC236}">
              <a16:creationId xmlns:a16="http://schemas.microsoft.com/office/drawing/2014/main" id="{A1D811D4-FC8B-4BC7-BA0A-AB8477EB1E41}"/>
            </a:ext>
          </a:extLst>
        </xdr:cNvPr>
        <xdr:cNvSpPr/>
      </xdr:nvSpPr>
      <xdr:spPr>
        <a:xfrm>
          <a:off x="13295632" y="9442062"/>
          <a:ext cx="1761698" cy="475217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Note</a:t>
          </a:r>
        </a:p>
      </xdr:txBody>
    </xdr:sp>
    <xdr:clientData/>
  </xdr:twoCellAnchor>
  <xdr:twoCellAnchor>
    <xdr:from>
      <xdr:col>58</xdr:col>
      <xdr:colOff>384076</xdr:colOff>
      <xdr:row>10</xdr:row>
      <xdr:rowOff>87215</xdr:rowOff>
    </xdr:from>
    <xdr:to>
      <xdr:col>72</xdr:col>
      <xdr:colOff>275897</xdr:colOff>
      <xdr:row>14</xdr:row>
      <xdr:rowOff>13139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47842BE-2D2B-4B58-94DA-75E3AA0266DD}"/>
            </a:ext>
          </a:extLst>
        </xdr:cNvPr>
        <xdr:cNvSpPr/>
      </xdr:nvSpPr>
      <xdr:spPr>
        <a:xfrm>
          <a:off x="36579076" y="1926525"/>
          <a:ext cx="8352649" cy="661648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u="sng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AFFECT</a:t>
          </a:r>
          <a:r>
            <a:rPr lang="en-IN" sz="2400" b="1" u="sng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 OF COVID-19 TOWARDS THE INFLATION IN INDIA</a:t>
          </a:r>
          <a:endParaRPr lang="en-IN" sz="2400" b="1" u="sng">
            <a:solidFill>
              <a:sysClr val="windowText" lastClr="0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59</xdr:col>
      <xdr:colOff>336674</xdr:colOff>
      <xdr:row>14</xdr:row>
      <xdr:rowOff>145750</xdr:rowOff>
    </xdr:from>
    <xdr:to>
      <xdr:col>71</xdr:col>
      <xdr:colOff>239059</xdr:colOff>
      <xdr:row>17</xdr:row>
      <xdr:rowOff>149412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43795E4-F026-4777-9121-7AC4A3FB5132}"/>
            </a:ext>
          </a:extLst>
        </xdr:cNvPr>
        <xdr:cNvSpPr/>
      </xdr:nvSpPr>
      <xdr:spPr>
        <a:xfrm>
          <a:off x="37585027" y="2655868"/>
          <a:ext cx="7253444" cy="541544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ysClr val="windowText" lastClr="000000"/>
              </a:solidFill>
            </a:rPr>
            <a:t>Food and Heathcare</a:t>
          </a:r>
          <a:r>
            <a:rPr lang="en-IN" sz="1800" b="1" baseline="0">
              <a:solidFill>
                <a:sysClr val="windowText" lastClr="000000"/>
              </a:solidFill>
            </a:rPr>
            <a:t> was affected the most during the covid-19 pandemic</a:t>
          </a:r>
          <a:endParaRPr lang="en-I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58</xdr:col>
      <xdr:colOff>423488</xdr:colOff>
      <xdr:row>19</xdr:row>
      <xdr:rowOff>113489</xdr:rowOff>
    </xdr:from>
    <xdr:to>
      <xdr:col>72</xdr:col>
      <xdr:colOff>341585</xdr:colOff>
      <xdr:row>37</xdr:row>
      <xdr:rowOff>52553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F0B5FE1-D922-45B9-840B-E29C9B228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65</xdr:col>
      <xdr:colOff>458549</xdr:colOff>
      <xdr:row>23</xdr:row>
      <xdr:rowOff>8758</xdr:rowOff>
    </xdr:from>
    <xdr:to>
      <xdr:col>68</xdr:col>
      <xdr:colOff>245241</xdr:colOff>
      <xdr:row>29</xdr:row>
      <xdr:rowOff>74177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454FBC0-35FB-4B9C-FB52-901069CC2DC6}"/>
            </a:ext>
          </a:extLst>
        </xdr:cNvPr>
        <xdr:cNvCxnSpPr/>
      </xdr:nvCxnSpPr>
      <xdr:spPr>
        <a:xfrm flipV="1">
          <a:off x="41142342" y="4239172"/>
          <a:ext cx="1612865" cy="1169005"/>
        </a:xfrm>
        <a:prstGeom prst="straightConnector1">
          <a:avLst/>
        </a:prstGeom>
        <a:ln>
          <a:solidFill>
            <a:schemeClr val="bg1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483501</xdr:colOff>
      <xdr:row>51</xdr:row>
      <xdr:rowOff>11676</xdr:rowOff>
    </xdr:from>
    <xdr:to>
      <xdr:col>66</xdr:col>
      <xdr:colOff>61452</xdr:colOff>
      <xdr:row>61</xdr:row>
      <xdr:rowOff>12290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BDA9080-BC70-46BE-AF76-830B0041BC75}"/>
            </a:ext>
          </a:extLst>
        </xdr:cNvPr>
        <xdr:cNvSpPr/>
      </xdr:nvSpPr>
      <xdr:spPr>
        <a:xfrm>
          <a:off x="37206985" y="9413773"/>
          <a:ext cx="4494080" cy="1844162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CPI for food and beverages: </a:t>
          </a: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Consistent upward trend annually, signaling steady price increases within this category.</a:t>
          </a:r>
          <a:endParaRPr lang="en-IN" sz="1200">
            <a:effectLst/>
          </a:endParaRPr>
        </a:p>
        <a:p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CPI for healthcare: </a:t>
          </a: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Noticeable yearly increase during the first</a:t>
          </a:r>
          <a:r>
            <a:rPr lang="en-IN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second wave of covid-19 i.e. 2020 and 2021</a:t>
          </a:r>
          <a:r>
            <a:rPr lang="en-IN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significant jump, indicating pandemic's substantial impact on healthcare costs.</a:t>
          </a:r>
          <a:endParaRPr lang="en-IN" sz="1200">
            <a:effectLst/>
          </a:endParaRPr>
        </a:p>
        <a:p>
          <a:pPr eaLnBrk="1" fontAlgn="auto" latinLnBrk="0" hangingPunct="1"/>
          <a:r>
            <a:rPr lang="en-GB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CPI</a:t>
          </a:r>
          <a:r>
            <a:rPr lang="en-GB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Miscellaneous i.e.</a:t>
          </a:r>
          <a:r>
            <a:rPr lang="en-GB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Goods and Services: </a:t>
          </a:r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Consistent CPI increase reflects pandemic-driven rise in essential household item costs.</a:t>
          </a:r>
          <a:endParaRPr lang="en-IN" sz="1200">
            <a:effectLst/>
          </a:endParaRPr>
        </a:p>
      </xdr:txBody>
    </xdr:sp>
    <xdr:clientData/>
  </xdr:twoCellAnchor>
  <xdr:twoCellAnchor>
    <xdr:from>
      <xdr:col>58</xdr:col>
      <xdr:colOff>471209</xdr:colOff>
      <xdr:row>49</xdr:row>
      <xdr:rowOff>38689</xdr:rowOff>
    </xdr:from>
    <xdr:to>
      <xdr:col>60</xdr:col>
      <xdr:colOff>577644</xdr:colOff>
      <xdr:row>52</xdr:row>
      <xdr:rowOff>122904</xdr:rowOff>
    </xdr:to>
    <xdr:sp macro="" textlink="">
      <xdr:nvSpPr>
        <xdr:cNvPr id="19" name="Rectangle: Diagonal Corners Rounded 18">
          <a:extLst>
            <a:ext uri="{FF2B5EF4-FFF2-40B4-BE49-F238E27FC236}">
              <a16:creationId xmlns:a16="http://schemas.microsoft.com/office/drawing/2014/main" id="{6F3A3F17-9441-464A-B018-876314115E1E}"/>
            </a:ext>
          </a:extLst>
        </xdr:cNvPr>
        <xdr:cNvSpPr/>
      </xdr:nvSpPr>
      <xdr:spPr>
        <a:xfrm>
          <a:off x="37194693" y="9072076"/>
          <a:ext cx="1335467" cy="637280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INSIGHTS</a:t>
          </a:r>
        </a:p>
      </xdr:txBody>
    </xdr:sp>
    <xdr:clientData/>
  </xdr:twoCellAnchor>
  <xdr:twoCellAnchor editAs="oneCell">
    <xdr:from>
      <xdr:col>58</xdr:col>
      <xdr:colOff>405581</xdr:colOff>
      <xdr:row>39</xdr:row>
      <xdr:rowOff>79986</xdr:rowOff>
    </xdr:from>
    <xdr:to>
      <xdr:col>65</xdr:col>
      <xdr:colOff>546390</xdr:colOff>
      <xdr:row>46</xdr:row>
      <xdr:rowOff>135193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EADBB9E-0AEC-372E-8738-5DA7AA25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29065" y="7269825"/>
          <a:ext cx="4442422" cy="1345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66</xdr:col>
      <xdr:colOff>281984</xdr:colOff>
      <xdr:row>52</xdr:row>
      <xdr:rowOff>2778</xdr:rowOff>
    </xdr:from>
    <xdr:to>
      <xdr:col>72</xdr:col>
      <xdr:colOff>405580</xdr:colOff>
      <xdr:row>61</xdr:row>
      <xdr:rowOff>48000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DA2DA68-BAF1-4B41-AFD5-6AACDBE02345}"/>
            </a:ext>
          </a:extLst>
        </xdr:cNvPr>
        <xdr:cNvSpPr/>
      </xdr:nvSpPr>
      <xdr:spPr>
        <a:xfrm>
          <a:off x="41777984" y="9362778"/>
          <a:ext cx="3795596" cy="166522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Food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:-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Cereals and products,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Meat and fish,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Egg,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Milk and products,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Oils and fat,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Fruits,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Vegetables,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Pulses and products,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Sugar and Confectionery,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Spices,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Non-alcoholic beverages,</a:t>
          </a:r>
          <a:r>
            <a:rPr lang="en-I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Prepared meals, snacks, sweets etc.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Food and beverages.</a:t>
          </a:r>
          <a:endParaRPr lang="en-IN">
            <a:effectLst/>
          </a:endParaRPr>
        </a:p>
        <a:p>
          <a:pPr eaLnBrk="1" fontAlgn="auto" latinLnBrk="0" hangingPunct="1"/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Miscellaneous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:-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Household goods and services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 and communication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Recreation and amusement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Personal care and effects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Miscellaneous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>
            <a:effectLst/>
          </a:endParaRPr>
        </a:p>
        <a:p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IN">
            <a:effectLst/>
          </a:endParaRPr>
        </a:p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66</xdr:col>
      <xdr:colOff>281983</xdr:colOff>
      <xdr:row>51</xdr:row>
      <xdr:rowOff>540</xdr:rowOff>
    </xdr:from>
    <xdr:to>
      <xdr:col>67</xdr:col>
      <xdr:colOff>441897</xdr:colOff>
      <xdr:row>52</xdr:row>
      <xdr:rowOff>90835</xdr:rowOff>
    </xdr:to>
    <xdr:sp macro="" textlink="">
      <xdr:nvSpPr>
        <xdr:cNvPr id="23" name="Rectangle: Diagonal Corners Rounded 22">
          <a:extLst>
            <a:ext uri="{FF2B5EF4-FFF2-40B4-BE49-F238E27FC236}">
              <a16:creationId xmlns:a16="http://schemas.microsoft.com/office/drawing/2014/main" id="{58604F6E-CDA4-46F5-A8E8-7F001EAEDDB6}"/>
            </a:ext>
          </a:extLst>
        </xdr:cNvPr>
        <xdr:cNvSpPr/>
      </xdr:nvSpPr>
      <xdr:spPr>
        <a:xfrm>
          <a:off x="41921596" y="9402637"/>
          <a:ext cx="774430" cy="274650"/>
        </a:xfrm>
        <a:prstGeom prst="round2Diag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Note</a:t>
          </a:r>
        </a:p>
      </xdr:txBody>
    </xdr:sp>
    <xdr:clientData/>
  </xdr:twoCellAnchor>
  <xdr:twoCellAnchor>
    <xdr:from>
      <xdr:col>65</xdr:col>
      <xdr:colOff>169333</xdr:colOff>
      <xdr:row>42</xdr:row>
      <xdr:rowOff>0</xdr:rowOff>
    </xdr:from>
    <xdr:to>
      <xdr:col>65</xdr:col>
      <xdr:colOff>374952</xdr:colOff>
      <xdr:row>43</xdr:row>
      <xdr:rowOff>114904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23D11C3-CF17-C321-82C0-356998D76699}"/>
            </a:ext>
          </a:extLst>
        </xdr:cNvPr>
        <xdr:cNvSpPr/>
      </xdr:nvSpPr>
      <xdr:spPr>
        <a:xfrm>
          <a:off x="40978666" y="7620000"/>
          <a:ext cx="205619" cy="296333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66</xdr:col>
      <xdr:colOff>195340</xdr:colOff>
      <xdr:row>38</xdr:row>
      <xdr:rowOff>24580</xdr:rowOff>
    </xdr:from>
    <xdr:to>
      <xdr:col>72</xdr:col>
      <xdr:colOff>356420</xdr:colOff>
      <xdr:row>50</xdr:row>
      <xdr:rowOff>36870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691505C-8F70-487E-8E6A-EFAC55773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59</xdr:col>
      <xdr:colOff>14377</xdr:colOff>
      <xdr:row>62</xdr:row>
      <xdr:rowOff>129397</xdr:rowOff>
    </xdr:from>
    <xdr:to>
      <xdr:col>72</xdr:col>
      <xdr:colOff>287548</xdr:colOff>
      <xdr:row>67</xdr:row>
      <xdr:rowOff>100641</xdr:rowOff>
    </xdr:to>
    <xdr:sp macro="" textlink="">
      <xdr:nvSpPr>
        <xdr:cNvPr id="46" name="Rectangle: Diagonal Corners Rounded 45">
          <a:extLst>
            <a:ext uri="{FF2B5EF4-FFF2-40B4-BE49-F238E27FC236}">
              <a16:creationId xmlns:a16="http://schemas.microsoft.com/office/drawing/2014/main" id="{CC26428E-E3CF-4C0C-B7C9-59D5507EF0F1}"/>
            </a:ext>
          </a:extLst>
        </xdr:cNvPr>
        <xdr:cNvSpPr/>
      </xdr:nvSpPr>
      <xdr:spPr>
        <a:xfrm>
          <a:off x="36777283" y="11717548"/>
          <a:ext cx="8123208" cy="733244"/>
        </a:xfrm>
        <a:prstGeom prst="round2Diag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graph presented above, we have utilized combined data from all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catagories i.e.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Rural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Urban and Rural + Urban.</a:t>
          </a:r>
        </a:p>
        <a:p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year:- 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2018, 2019, 2020, 2021 and 2022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NOTE- </a:t>
          </a: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used Normal Year (January to December)</a:t>
          </a:r>
          <a:endParaRPr lang="en-I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b="0">
            <a:effectLst/>
          </a:endParaRPr>
        </a:p>
        <a:p>
          <a:endParaRPr lang="en-IN" b="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78</xdr:col>
      <xdr:colOff>117941</xdr:colOff>
      <xdr:row>10</xdr:row>
      <xdr:rowOff>98549</xdr:rowOff>
    </xdr:from>
    <xdr:to>
      <xdr:col>91</xdr:col>
      <xdr:colOff>433295</xdr:colOff>
      <xdr:row>17</xdr:row>
      <xdr:rowOff>14941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C1D9ACB-8500-4D1F-84C6-BFAAD4082C99}"/>
            </a:ext>
          </a:extLst>
        </xdr:cNvPr>
        <xdr:cNvSpPr/>
      </xdr:nvSpPr>
      <xdr:spPr>
        <a:xfrm>
          <a:off x="49005470" y="1891490"/>
          <a:ext cx="8279001" cy="1171451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ANALYSIS OF THE IMPACT</a:t>
          </a:r>
          <a:r>
            <a:rPr lang="en-IN" sz="2800" b="1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OF OIL PRICE FLUCTUATIONS ON INFLATION</a:t>
          </a:r>
          <a:r>
            <a:rPr lang="en-IN" sz="28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(2021-2023)</a:t>
          </a:r>
          <a:endParaRPr lang="en-IN" sz="2800" u="sng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77</xdr:col>
      <xdr:colOff>596058</xdr:colOff>
      <xdr:row>18</xdr:row>
      <xdr:rowOff>128430</xdr:rowOff>
    </xdr:from>
    <xdr:to>
      <xdr:col>92</xdr:col>
      <xdr:colOff>14941</xdr:colOff>
      <xdr:row>32</xdr:row>
      <xdr:rowOff>134469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2FF2E66-20C4-48E3-A768-264F05AB4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77</xdr:col>
      <xdr:colOff>528856</xdr:colOff>
      <xdr:row>35</xdr:row>
      <xdr:rowOff>91019</xdr:rowOff>
    </xdr:from>
    <xdr:to>
      <xdr:col>91</xdr:col>
      <xdr:colOff>574082</xdr:colOff>
      <xdr:row>45</xdr:row>
      <xdr:rowOff>91440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91DD0EF7-D6A9-4FD5-9C0E-4B1E40EA3107}"/>
            </a:ext>
          </a:extLst>
        </xdr:cNvPr>
        <xdr:cNvSpPr/>
      </xdr:nvSpPr>
      <xdr:spPr>
        <a:xfrm>
          <a:off x="48575496" y="6491819"/>
          <a:ext cx="8579626" cy="1829221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eaLnBrk="1" fontAlgn="auto" latinLnBrk="0" hangingPunct="1"/>
          <a:endParaRPr lang="en-IN" sz="1400">
            <a:effectLst/>
          </a:endParaRPr>
        </a:p>
        <a:p>
          <a:r>
            <a:rPr lang="en-GB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Oil</a:t>
          </a:r>
          <a:r>
            <a:rPr lang="en-GB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Fat:- </a:t>
          </a:r>
          <a:r>
            <a:rPr lang="en-GB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Oil</a:t>
          </a:r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Fat</a:t>
          </a:r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sector's CPI shows a consistent rise, aligning with increasing oil prices (77%), directly impacting cost</a:t>
          </a:r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being the highest of all catagories whose inflation prices changes with fluctation in imported oil price.</a:t>
          </a:r>
          <a:endParaRPr lang="en-IN" sz="1200">
            <a:effectLst/>
          </a:endParaRPr>
        </a:p>
        <a:p>
          <a:pPr eaLnBrk="1" fontAlgn="auto" latinLnBrk="0" hangingPunct="1"/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IN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Meat</a:t>
          </a:r>
          <a:r>
            <a:rPr lang="en-IN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Fish:-  </a:t>
          </a:r>
          <a:r>
            <a:rPr lang="en-GB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Meat and Fish </a:t>
          </a:r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sector's CPI is</a:t>
          </a:r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seconf hisgest</a:t>
          </a:r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aligning with increasing oil prices (75%)</a:t>
          </a:r>
          <a:endParaRPr lang="en-IN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Transport:- </a:t>
          </a:r>
          <a:r>
            <a:rPr lang="en-IN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CPI for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 and communication</a:t>
          </a:r>
          <a:r>
            <a:rPr lang="en-IN" sz="1200"/>
            <a:t> </a:t>
          </a:r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exhibits a notable surge</a:t>
          </a:r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(69%)</a:t>
          </a:r>
          <a:r>
            <a:rPr lang="en-GB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particularly evident from 2021 to 2022, reflecting the influence of fluctuating oil prices on</a:t>
          </a:r>
          <a:r>
            <a:rPr lang="en-GB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Transportation.</a:t>
          </a:r>
          <a:endParaRPr lang="en-IN" sz="1200">
            <a:effectLst/>
          </a:endParaRPr>
        </a:p>
        <a:p>
          <a:endParaRPr lang="en-IN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>
              <a:effectLst/>
            </a:rPr>
            <a:t>Other sectors were also affected</a:t>
          </a:r>
          <a:r>
            <a:rPr lang="en-IN" sz="1200" baseline="0">
              <a:effectLst/>
            </a:rPr>
            <a:t> due to the fluctuation of Crude oil prices but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egg sector exhibits a negative correlation with crude oil imports for both 2021 and 2022.</a:t>
          </a:r>
          <a:endParaRPr lang="en-IN" sz="1200">
            <a:effectLst/>
          </a:endParaRPr>
        </a:p>
        <a:p>
          <a:endParaRPr lang="en-IN" sz="1200">
            <a:effectLst/>
          </a:endParaRPr>
        </a:p>
      </xdr:txBody>
    </xdr:sp>
    <xdr:clientData/>
  </xdr:twoCellAnchor>
  <xdr:twoCellAnchor>
    <xdr:from>
      <xdr:col>77</xdr:col>
      <xdr:colOff>534302</xdr:colOff>
      <xdr:row>34</xdr:row>
      <xdr:rowOff>28823</xdr:rowOff>
    </xdr:from>
    <xdr:to>
      <xdr:col>80</xdr:col>
      <xdr:colOff>418171</xdr:colOff>
      <xdr:row>36</xdr:row>
      <xdr:rowOff>55756</xdr:rowOff>
    </xdr:to>
    <xdr:sp macro="" textlink="">
      <xdr:nvSpPr>
        <xdr:cNvPr id="58" name="Rectangle: Diagonal Corners Rounded 57">
          <a:extLst>
            <a:ext uri="{FF2B5EF4-FFF2-40B4-BE49-F238E27FC236}">
              <a16:creationId xmlns:a16="http://schemas.microsoft.com/office/drawing/2014/main" id="{0C58286F-335A-4605-ABB5-E6CDE7DE315A}"/>
            </a:ext>
          </a:extLst>
        </xdr:cNvPr>
        <xdr:cNvSpPr/>
      </xdr:nvSpPr>
      <xdr:spPr>
        <a:xfrm>
          <a:off x="48856253" y="6347847"/>
          <a:ext cx="1723820" cy="398641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INSIGHTS</a:t>
          </a:r>
        </a:p>
      </xdr:txBody>
    </xdr:sp>
    <xdr:clientData/>
  </xdr:twoCellAnchor>
  <xdr:twoCellAnchor>
    <xdr:from>
      <xdr:col>78</xdr:col>
      <xdr:colOff>553232</xdr:colOff>
      <xdr:row>21</xdr:row>
      <xdr:rowOff>-1</xdr:rowOff>
    </xdr:from>
    <xdr:to>
      <xdr:col>80</xdr:col>
      <xdr:colOff>146138</xdr:colOff>
      <xdr:row>22</xdr:row>
      <xdr:rowOff>52192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589796E3-C2F4-8B6C-45CE-B85BA4382DAB}"/>
            </a:ext>
          </a:extLst>
        </xdr:cNvPr>
        <xdr:cNvSpPr txBox="1"/>
      </xdr:nvSpPr>
      <xdr:spPr>
        <a:xfrm>
          <a:off x="48903698" y="3945698"/>
          <a:ext cx="803755" cy="2400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>
              <a:solidFill>
                <a:srgbClr val="FF0000"/>
              </a:solidFill>
            </a:rPr>
            <a:t>Meat and Fish</a:t>
          </a:r>
        </a:p>
      </xdr:txBody>
    </xdr:sp>
    <xdr:clientData/>
  </xdr:twoCellAnchor>
  <xdr:twoCellAnchor>
    <xdr:from>
      <xdr:col>87</xdr:col>
      <xdr:colOff>593481</xdr:colOff>
      <xdr:row>21</xdr:row>
      <xdr:rowOff>153865</xdr:rowOff>
    </xdr:from>
    <xdr:to>
      <xdr:col>89</xdr:col>
      <xdr:colOff>197827</xdr:colOff>
      <xdr:row>23</xdr:row>
      <xdr:rowOff>7326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D864EBF6-13A5-4AFB-0320-068399D0E3DA}"/>
            </a:ext>
          </a:extLst>
        </xdr:cNvPr>
        <xdr:cNvSpPr txBox="1"/>
      </xdr:nvSpPr>
      <xdr:spPr>
        <a:xfrm>
          <a:off x="54629539" y="4000500"/>
          <a:ext cx="820615" cy="219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>
              <a:solidFill>
                <a:srgbClr val="FF0000"/>
              </a:solidFill>
            </a:rPr>
            <a:t>Transportation</a:t>
          </a:r>
        </a:p>
      </xdr:txBody>
    </xdr:sp>
    <xdr:clientData/>
  </xdr:twoCellAnchor>
  <xdr:twoCellAnchor>
    <xdr:from>
      <xdr:col>77</xdr:col>
      <xdr:colOff>533245</xdr:colOff>
      <xdr:row>47</xdr:row>
      <xdr:rowOff>37134</xdr:rowOff>
    </xdr:from>
    <xdr:to>
      <xdr:col>83</xdr:col>
      <xdr:colOff>182880</xdr:colOff>
      <xdr:row>55</xdr:row>
      <xdr:rowOff>121920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111936E-889F-4DCC-BA38-FE0939209860}"/>
            </a:ext>
          </a:extLst>
        </xdr:cNvPr>
        <xdr:cNvSpPr/>
      </xdr:nvSpPr>
      <xdr:spPr>
        <a:xfrm>
          <a:off x="48579885" y="8632494"/>
          <a:ext cx="3307235" cy="154782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Year:</a:t>
          </a:r>
          <a:endParaRPr lang="en-IN" sz="1400">
            <a:effectLst/>
          </a:endParaRPr>
        </a:p>
        <a:p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2021,</a:t>
          </a:r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400">
            <a:effectLst/>
          </a:endParaRPr>
        </a:p>
        <a:p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2022,</a:t>
          </a:r>
          <a:endParaRPr lang="en-IN" sz="1400">
            <a:effectLst/>
          </a:endParaRPr>
        </a:p>
        <a:p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2023</a:t>
          </a:r>
          <a:endParaRPr lang="en-IN" sz="1400">
            <a:effectLst/>
          </a:endParaRPr>
        </a:p>
      </xdr:txBody>
    </xdr:sp>
    <xdr:clientData/>
  </xdr:twoCellAnchor>
  <xdr:twoCellAnchor>
    <xdr:from>
      <xdr:col>77</xdr:col>
      <xdr:colOff>530267</xdr:colOff>
      <xdr:row>46</xdr:row>
      <xdr:rowOff>103547</xdr:rowOff>
    </xdr:from>
    <xdr:to>
      <xdr:col>79</xdr:col>
      <xdr:colOff>345441</xdr:colOff>
      <xdr:row>48</xdr:row>
      <xdr:rowOff>91441</xdr:rowOff>
    </xdr:to>
    <xdr:sp macro="" textlink="">
      <xdr:nvSpPr>
        <xdr:cNvPr id="67" name="Rectangle: Diagonal Corners Rounded 66">
          <a:extLst>
            <a:ext uri="{FF2B5EF4-FFF2-40B4-BE49-F238E27FC236}">
              <a16:creationId xmlns:a16="http://schemas.microsoft.com/office/drawing/2014/main" id="{704FC517-656C-48CA-B4B2-5AF0FD806DD2}"/>
            </a:ext>
          </a:extLst>
        </xdr:cNvPr>
        <xdr:cNvSpPr/>
      </xdr:nvSpPr>
      <xdr:spPr>
        <a:xfrm>
          <a:off x="48576907" y="8516027"/>
          <a:ext cx="1034374" cy="353654"/>
        </a:xfrm>
        <a:prstGeom prst="round2Diag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800" b="1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Note</a:t>
          </a:r>
        </a:p>
      </xdr:txBody>
    </xdr:sp>
    <xdr:clientData/>
  </xdr:twoCellAnchor>
  <xdr:twoCellAnchor>
    <xdr:from>
      <xdr:col>84</xdr:col>
      <xdr:colOff>40640</xdr:colOff>
      <xdr:row>47</xdr:row>
      <xdr:rowOff>81280</xdr:rowOff>
    </xdr:from>
    <xdr:to>
      <xdr:col>90</xdr:col>
      <xdr:colOff>40640</xdr:colOff>
      <xdr:row>55</xdr:row>
      <xdr:rowOff>121920</xdr:rowOff>
    </xdr:to>
    <xdr:sp macro="" textlink="">
      <xdr:nvSpPr>
        <xdr:cNvPr id="69" name="Rectangle: Diagonal Corners Rounded 68">
          <a:extLst>
            <a:ext uri="{FF2B5EF4-FFF2-40B4-BE49-F238E27FC236}">
              <a16:creationId xmlns:a16="http://schemas.microsoft.com/office/drawing/2014/main" id="{CFA9AA6B-9E28-F920-4E84-456D07A68EE3}"/>
            </a:ext>
          </a:extLst>
        </xdr:cNvPr>
        <xdr:cNvSpPr/>
      </xdr:nvSpPr>
      <xdr:spPr>
        <a:xfrm>
          <a:off x="52354480" y="8676640"/>
          <a:ext cx="3657600" cy="1503680"/>
        </a:xfrm>
        <a:prstGeom prst="round2Diag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used</a:t>
          </a:r>
          <a:r>
            <a:rPr lang="en-US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Analysis:</a:t>
          </a:r>
          <a:r>
            <a:rPr 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</a:p>
        <a:p>
          <a:pPr eaLnBrk="1" fontAlgn="auto" latinLnBrk="0" hangingPunct="1"/>
          <a:endParaRPr lang="en-IN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Only Crude oil import data is used for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Analysis. </a:t>
          </a:r>
        </a:p>
        <a:p>
          <a:pPr eaLnBrk="1" fontAlgn="auto" latinLnBrk="0" hangingPunct="1"/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Rural + Urban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sector was consider for this analysis</a:t>
          </a:r>
          <a:endParaRPr lang="en-IN" sz="1200" b="0">
            <a:effectLst/>
          </a:endParaRPr>
        </a:p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0.42706</cdr:x>
      <cdr:y>0.1366</cdr:y>
    </cdr:from>
    <cdr:to>
      <cdr:x>0.78205</cdr:x>
      <cdr:y>0.88681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95539FD-9803-DBC8-5523-4F7818011FE1}"/>
            </a:ext>
          </a:extLst>
        </cdr:cNvPr>
        <cdr:cNvSpPr/>
      </cdr:nvSpPr>
      <cdr:spPr>
        <a:xfrm xmlns:a="http://schemas.openxmlformats.org/drawingml/2006/main">
          <a:off x="3578304" y="443926"/>
          <a:ext cx="2974449" cy="24380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4">
              <a:lumMod val="60000"/>
              <a:lumOff val="40000"/>
            </a:schemeClr>
          </a:solidFill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0.46286</cdr:x>
      <cdr:y>0.05928</cdr:y>
    </cdr:from>
    <cdr:to>
      <cdr:x>0.75332</cdr:x>
      <cdr:y>0.10825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18736E7-915E-04BB-69F4-9DAD576AC79A}"/>
            </a:ext>
          </a:extLst>
        </cdr:cNvPr>
        <cdr:cNvSpPr txBox="1"/>
      </cdr:nvSpPr>
      <cdr:spPr>
        <a:xfrm xmlns:a="http://schemas.openxmlformats.org/drawingml/2006/main">
          <a:off x="2659380" y="175260"/>
          <a:ext cx="1668780" cy="144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0.46408</cdr:x>
      <cdr:y>0.05412</cdr:y>
    </cdr:from>
    <cdr:to>
      <cdr:x>0.74822</cdr:x>
      <cdr:y>0.12922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8C2A92D-3C8E-24DD-C16C-8D598D642C70}"/>
            </a:ext>
          </a:extLst>
        </cdr:cNvPr>
        <cdr:cNvSpPr txBox="1"/>
      </cdr:nvSpPr>
      <cdr:spPr>
        <a:xfrm xmlns:a="http://schemas.openxmlformats.org/drawingml/2006/main">
          <a:off x="3940288" y="169024"/>
          <a:ext cx="2412582" cy="234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IN" sz="1100" b="1">
              <a:solidFill>
                <a:schemeClr val="bg1"/>
              </a:solidFill>
            </a:rPr>
            <a:t>Covid-19</a:t>
          </a:r>
          <a:r>
            <a:rPr lang="en-IN" sz="1100" b="1" baseline="0">
              <a:solidFill>
                <a:schemeClr val="bg1"/>
              </a:solidFill>
            </a:rPr>
            <a:t> first and second wave</a:t>
          </a:r>
          <a:endParaRPr lang="en-IN" sz="1100" b="1">
            <a:solidFill>
              <a:schemeClr val="bg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0.1939</cdr:x>
      <cdr:y>0.19342</cdr:y>
    </cdr:from>
    <cdr:to>
      <cdr:x>0.27566</cdr:x>
      <cdr:y>0.26843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8261230-045C-0086-39DD-7566E60F7691}"/>
            </a:ext>
          </a:extLst>
        </cdr:cNvPr>
        <cdr:cNvSpPr txBox="1"/>
      </cdr:nvSpPr>
      <cdr:spPr>
        <a:xfrm xmlns:a="http://schemas.openxmlformats.org/drawingml/2006/main">
          <a:off x="1648234" y="509952"/>
          <a:ext cx="694967" cy="1977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l"/>
          <a:r>
            <a:rPr lang="en-IN" sz="800">
              <a:solidFill>
                <a:srgbClr val="FF0000"/>
              </a:solidFill>
            </a:rPr>
            <a:t>Oil and Fat</a:t>
          </a:r>
        </a:p>
      </cdr:txBody>
    </cdr:sp>
  </cdr:relSizeAnchor>
  <cdr:relSizeAnchor xmlns:cdr="http://schemas.openxmlformats.org/drawingml/2006/chartDrawing">
    <cdr:from>
      <cdr:x>0.18456</cdr:x>
      <cdr:y>0.19884</cdr:y>
    </cdr:from>
    <cdr:to>
      <cdr:x>0.27689</cdr:x>
      <cdr:y>0.26259</cdr:y>
    </cdr:to>
    <cdr:sp macro="" textlink="">
      <cdr:nvSpPr>
        <cdr:cNvPr id="3" name="Speech Bubble: Oval 2">
          <a:extLst xmlns:a="http://schemas.openxmlformats.org/drawingml/2006/main">
            <a:ext uri="{FF2B5EF4-FFF2-40B4-BE49-F238E27FC236}">
              <a16:creationId xmlns:a16="http://schemas.microsoft.com/office/drawing/2014/main" id="{AD526EA3-02BA-1162-2BD8-4E9F51523C64}"/>
            </a:ext>
          </a:extLst>
        </cdr:cNvPr>
        <cdr:cNvSpPr/>
      </cdr:nvSpPr>
      <cdr:spPr>
        <a:xfrm xmlns:a="http://schemas.openxmlformats.org/drawingml/2006/main">
          <a:off x="1568846" y="524234"/>
          <a:ext cx="784792" cy="168097"/>
        </a:xfrm>
        <a:prstGeom xmlns:a="http://schemas.openxmlformats.org/drawingml/2006/main" prst="wedgeEllipseCallout">
          <a:avLst>
            <a:gd name="adj1" fmla="val -19503"/>
            <a:gd name="adj2" fmla="val 81129"/>
          </a:avLst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0.05513</cdr:x>
      <cdr:y>0.16904</cdr:y>
    </cdr:from>
    <cdr:to>
      <cdr:x>0.15951</cdr:x>
      <cdr:y>0.23635</cdr:y>
    </cdr:to>
    <cdr:sp macro="" textlink="">
      <cdr:nvSpPr>
        <cdr:cNvPr id="4" name="Speech Bubble: Oval 3">
          <a:extLst xmlns:a="http://schemas.openxmlformats.org/drawingml/2006/main">
            <a:ext uri="{FF2B5EF4-FFF2-40B4-BE49-F238E27FC236}">
              <a16:creationId xmlns:a16="http://schemas.microsoft.com/office/drawing/2014/main" id="{005E16FD-67D5-9D2E-E992-4BC1AD570103}"/>
            </a:ext>
          </a:extLst>
        </cdr:cNvPr>
        <cdr:cNvSpPr/>
      </cdr:nvSpPr>
      <cdr:spPr>
        <a:xfrm xmlns:a="http://schemas.openxmlformats.org/drawingml/2006/main">
          <a:off x="468654" y="445681"/>
          <a:ext cx="887261" cy="177452"/>
        </a:xfrm>
        <a:prstGeom xmlns:a="http://schemas.openxmlformats.org/drawingml/2006/main" prst="wedgeEllipseCallout">
          <a:avLst>
            <a:gd name="adj1" fmla="val 5629"/>
            <a:gd name="adj2" fmla="val 111520"/>
          </a:avLst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0.7143</cdr:x>
      <cdr:y>0.22938</cdr:y>
    </cdr:from>
    <cdr:to>
      <cdr:x>0.80437</cdr:x>
      <cdr:y>0.29779</cdr:y>
    </cdr:to>
    <cdr:sp macro="" textlink="">
      <cdr:nvSpPr>
        <cdr:cNvPr id="5" name="Speech Bubble: Oval 4">
          <a:extLst xmlns:a="http://schemas.openxmlformats.org/drawingml/2006/main">
            <a:ext uri="{FF2B5EF4-FFF2-40B4-BE49-F238E27FC236}">
              <a16:creationId xmlns:a16="http://schemas.microsoft.com/office/drawing/2014/main" id="{D2FA7264-FA83-BBAD-16C7-FCDF333CC1A4}"/>
            </a:ext>
          </a:extLst>
        </cdr:cNvPr>
        <cdr:cNvSpPr/>
      </cdr:nvSpPr>
      <cdr:spPr>
        <a:xfrm xmlns:a="http://schemas.openxmlformats.org/drawingml/2006/main">
          <a:off x="6100748" y="589610"/>
          <a:ext cx="769327" cy="175846"/>
        </a:xfrm>
        <a:prstGeom xmlns:a="http://schemas.openxmlformats.org/drawingml/2006/main" prst="wedgeEllipseCallout">
          <a:avLst>
            <a:gd name="adj1" fmla="val -29404"/>
            <a:gd name="adj2" fmla="val 75000"/>
          </a:avLst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441960</xdr:colOff>
      <xdr:row>15</xdr:row>
      <xdr:rowOff>22860</xdr:rowOff>
    </xdr:from>
    <xdr:to>
      <xdr:col>8</xdr:col>
      <xdr:colOff>91440</xdr:colOff>
      <xdr:row>28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AC75F4-3F48-4CDF-EFAC-B2B81E022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251460</xdr:colOff>
      <xdr:row>15</xdr:row>
      <xdr:rowOff>22860</xdr:rowOff>
    </xdr:from>
    <xdr:to>
      <xdr:col>14</xdr:col>
      <xdr:colOff>480060</xdr:colOff>
      <xdr:row>28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9F5C00-4548-974B-97DE-6C9925196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457200</xdr:colOff>
      <xdr:row>29</xdr:row>
      <xdr:rowOff>99060</xdr:rowOff>
    </xdr:from>
    <xdr:to>
      <xdr:col>11</xdr:col>
      <xdr:colOff>38100</xdr:colOff>
      <xdr:row>42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64416B-00DB-A589-63FC-6172980CC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114300</xdr:colOff>
      <xdr:row>11</xdr:row>
      <xdr:rowOff>167640</xdr:rowOff>
    </xdr:from>
    <xdr:to>
      <xdr:col>24</xdr:col>
      <xdr:colOff>419100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B041C-BE9E-1F81-A891-4497B8A1D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289560</xdr:colOff>
      <xdr:row>12</xdr:row>
      <xdr:rowOff>15240</xdr:rowOff>
    </xdr:from>
    <xdr:to>
      <xdr:col>32</xdr:col>
      <xdr:colOff>381000</xdr:colOff>
      <xdr:row>27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62F927-EE82-AF90-467E-965D15DAB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541020</xdr:colOff>
      <xdr:row>57</xdr:row>
      <xdr:rowOff>91440</xdr:rowOff>
    </xdr:from>
    <xdr:to>
      <xdr:col>12</xdr:col>
      <xdr:colOff>266700</xdr:colOff>
      <xdr:row>69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BDF4E3-BB79-74DC-13D1-A7A890EF2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335280</xdr:colOff>
      <xdr:row>17</xdr:row>
      <xdr:rowOff>15240</xdr:rowOff>
    </xdr:from>
    <xdr:to>
      <xdr:col>9</xdr:col>
      <xdr:colOff>22860</xdr:colOff>
      <xdr:row>32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F16EFD-9B33-DEA8-2A86-BFFB1D266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</xdr:row>
      <xdr:rowOff>7620</xdr:rowOff>
    </xdr:from>
    <xdr:to>
      <xdr:col>23</xdr:col>
      <xdr:colOff>76200</xdr:colOff>
      <xdr:row>20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B86D6B-B248-020E-30AD-6C0BF3F44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236220</xdr:colOff>
      <xdr:row>38</xdr:row>
      <xdr:rowOff>15240</xdr:rowOff>
    </xdr:from>
    <xdr:to>
      <xdr:col>22</xdr:col>
      <xdr:colOff>152400</xdr:colOff>
      <xdr:row>56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DC4C0-D99D-AF9D-CF07-E48579DA2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137161</xdr:colOff>
      <xdr:row>22</xdr:row>
      <xdr:rowOff>53340</xdr:rowOff>
    </xdr:from>
    <xdr:to>
      <xdr:col>10</xdr:col>
      <xdr:colOff>172825</xdr:colOff>
      <xdr:row>42</xdr:row>
      <xdr:rowOff>7855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61B4280-C9E6-7260-F720-C1052D1763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6361" y="4701540"/>
              <a:ext cx="6192624" cy="3612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289559</xdr:colOff>
      <xdr:row>15</xdr:row>
      <xdr:rowOff>0</xdr:rowOff>
    </xdr:from>
    <xdr:to>
      <xdr:col>32</xdr:col>
      <xdr:colOff>346362</xdr:colOff>
      <xdr:row>40</xdr:row>
      <xdr:rowOff>44824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C51175-B20A-4606-9F91-CE8285CD6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41</xdr:col>
      <xdr:colOff>520699</xdr:colOff>
      <xdr:row>4</xdr:row>
      <xdr:rowOff>88900</xdr:rowOff>
    </xdr:from>
    <xdr:to>
      <xdr:col>56</xdr:col>
      <xdr:colOff>91806</xdr:colOff>
      <xdr:row>26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70684A19-5393-4B11-87D8-72806A092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17619" y="835660"/>
              <a:ext cx="8715107" cy="4544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1</xdr:row>
      <xdr:rowOff>2667000</xdr:rowOff>
    </xdr:from>
    <xdr:to>
      <xdr:col>19</xdr:col>
      <xdr:colOff>889000</xdr:colOff>
      <xdr:row>22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60EC89-0E26-4701-9DE5-422610AE3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647700</xdr:colOff>
      <xdr:row>23</xdr:row>
      <xdr:rowOff>101600</xdr:rowOff>
    </xdr:from>
    <xdr:to>
      <xdr:col>12</xdr:col>
      <xdr:colOff>533400</xdr:colOff>
      <xdr:row>45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28A8DDF-09C1-4181-953E-9AFED76B1A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3060" y="7637780"/>
              <a:ext cx="19629120" cy="4119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520700</xdr:colOff>
      <xdr:row>105</xdr:row>
      <xdr:rowOff>88900</xdr:rowOff>
    </xdr:from>
    <xdr:to>
      <xdr:col>13</xdr:col>
      <xdr:colOff>482600</xdr:colOff>
      <xdr:row>130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B0D282A-4B72-4989-AF47-C6914751A7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7500" y="24107140"/>
              <a:ext cx="18531840" cy="5306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166557</xdr:colOff>
      <xdr:row>102</xdr:row>
      <xdr:rowOff>54547</xdr:rowOff>
    </xdr:from>
    <xdr:to>
      <xdr:col>42</xdr:col>
      <xdr:colOff>584200</xdr:colOff>
      <xdr:row>129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9C26B6-15DE-4559-AB71-919A3ED48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693616</xdr:colOff>
      <xdr:row>109</xdr:row>
      <xdr:rowOff>39076</xdr:rowOff>
    </xdr:from>
    <xdr:to>
      <xdr:col>8</xdr:col>
      <xdr:colOff>490416</xdr:colOff>
      <xdr:row>120</xdr:row>
      <xdr:rowOff>225343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D6719DC6-84C1-4B14-B356-F3C4C051FB8F}"/>
            </a:ext>
          </a:extLst>
        </xdr:cNvPr>
        <xdr:cNvSpPr/>
      </xdr:nvSpPr>
      <xdr:spPr>
        <a:xfrm>
          <a:off x="11818816" y="27592996"/>
          <a:ext cx="1496060" cy="2716107"/>
        </a:xfrm>
        <a:prstGeom prst="frame">
          <a:avLst>
            <a:gd name="adj1" fmla="val 7305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952500</xdr:colOff>
      <xdr:row>121</xdr:row>
      <xdr:rowOff>173567</xdr:rowOff>
    </xdr:from>
    <xdr:to>
      <xdr:col>4</xdr:col>
      <xdr:colOff>630767</xdr:colOff>
      <xdr:row>129</xdr:row>
      <xdr:rowOff>84667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C173FF3C-B69E-4136-A685-CE63F4BC8E1F}"/>
            </a:ext>
          </a:extLst>
        </xdr:cNvPr>
        <xdr:cNvSpPr/>
      </xdr:nvSpPr>
      <xdr:spPr>
        <a:xfrm>
          <a:off x="5829300" y="30485927"/>
          <a:ext cx="1522307" cy="1739900"/>
        </a:xfrm>
        <a:prstGeom prst="frame">
          <a:avLst>
            <a:gd name="adj1" fmla="val 7305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685800</xdr:colOff>
      <xdr:row>26</xdr:row>
      <xdr:rowOff>25400</xdr:rowOff>
    </xdr:from>
    <xdr:to>
      <xdr:col>6</xdr:col>
      <xdr:colOff>228600</xdr:colOff>
      <xdr:row>47</xdr:row>
      <xdr:rowOff>50800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F53BFD04-0838-4B6C-87CF-50E3808B3558}"/>
            </a:ext>
          </a:extLst>
        </xdr:cNvPr>
        <xdr:cNvSpPr/>
      </xdr:nvSpPr>
      <xdr:spPr>
        <a:xfrm>
          <a:off x="8389620" y="8567420"/>
          <a:ext cx="1722120" cy="4826000"/>
        </a:xfrm>
        <a:prstGeom prst="frame">
          <a:avLst>
            <a:gd name="adj1" fmla="val 9615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1066800</xdr:colOff>
      <xdr:row>37</xdr:row>
      <xdr:rowOff>152400</xdr:rowOff>
    </xdr:from>
    <xdr:to>
      <xdr:col>2</xdr:col>
      <xdr:colOff>1371600</xdr:colOff>
      <xdr:row>46</xdr:row>
      <xdr:rowOff>177800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DBF06EAF-0434-4D12-8CDA-1446CDD2947D}"/>
            </a:ext>
          </a:extLst>
        </xdr:cNvPr>
        <xdr:cNvSpPr/>
      </xdr:nvSpPr>
      <xdr:spPr>
        <a:xfrm>
          <a:off x="2042160" y="11209020"/>
          <a:ext cx="1752600" cy="2082800"/>
        </a:xfrm>
        <a:prstGeom prst="frame">
          <a:avLst>
            <a:gd name="adj1" fmla="val 9615"/>
          </a:avLst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2</xdr:row>
      <xdr:rowOff>22860</xdr:rowOff>
    </xdr:from>
    <xdr:to>
      <xdr:col>14</xdr:col>
      <xdr:colOff>30480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36F44-524C-4A47-223A-1BAEFB8D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23</xdr:row>
      <xdr:rowOff>0</xdr:rowOff>
    </xdr:from>
    <xdr:to>
      <xdr:col>15</xdr:col>
      <xdr:colOff>373380</xdr:colOff>
      <xdr:row>38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81E343-82DE-3AA7-D47F-D4D3A54E5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106680</xdr:colOff>
      <xdr:row>42</xdr:row>
      <xdr:rowOff>0</xdr:rowOff>
    </xdr:from>
    <xdr:to>
      <xdr:col>17</xdr:col>
      <xdr:colOff>22860</xdr:colOff>
      <xdr:row>55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4D03AE-DAC3-9846-7683-D64D06073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441960</xdr:colOff>
      <xdr:row>63</xdr:row>
      <xdr:rowOff>45720</xdr:rowOff>
    </xdr:from>
    <xdr:to>
      <xdr:col>18</xdr:col>
      <xdr:colOff>91440</xdr:colOff>
      <xdr:row>79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DA610B-BAE8-823B-B05B-11A52E2B0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335280</xdr:colOff>
      <xdr:row>66</xdr:row>
      <xdr:rowOff>99060</xdr:rowOff>
    </xdr:from>
    <xdr:to>
      <xdr:col>15</xdr:col>
      <xdr:colOff>205740</xdr:colOff>
      <xdr:row>72</xdr:row>
      <xdr:rowOff>22860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406CCC6-FF20-DF5C-51EF-1E25A15A9BAE}"/>
            </a:ext>
          </a:extLst>
        </xdr:cNvPr>
        <xdr:cNvCxnSpPr/>
      </xdr:nvCxnSpPr>
      <xdr:spPr>
        <a:xfrm flipV="1">
          <a:off x="10927080" y="12024360"/>
          <a:ext cx="1089660" cy="1021080"/>
        </a:xfrm>
        <a:prstGeom prst="line">
          <a:avLst/>
        </a:prstGeom>
        <a:ln>
          <a:solidFill>
            <a:schemeClr val="bg1"/>
          </a:solidFill>
          <a:headEnd type="none" w="med" len="med"/>
          <a:tailEnd type="arrow" w="med" len="med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298739</xdr:colOff>
      <xdr:row>4</xdr:row>
      <xdr:rowOff>122093</xdr:rowOff>
    </xdr:from>
    <xdr:to>
      <xdr:col>29</xdr:col>
      <xdr:colOff>21648</xdr:colOff>
      <xdr:row>19</xdr:row>
      <xdr:rowOff>137680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171A464-E4D2-84A4-6AA7-4AA1D9329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0.42706</cdr:x>
      <cdr:y>0.1366</cdr:y>
    </cdr:from>
    <cdr:to>
      <cdr:x>0.7931</cdr:x>
      <cdr:y>0.88144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95539FD-9803-DBC8-5523-4F7818011FE1}"/>
            </a:ext>
          </a:extLst>
        </cdr:cNvPr>
        <cdr:cNvSpPr/>
      </cdr:nvSpPr>
      <cdr:spPr>
        <a:xfrm xmlns:a="http://schemas.openxmlformats.org/drawingml/2006/main">
          <a:off x="2453640" y="403860"/>
          <a:ext cx="2103120" cy="22021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4">
              <a:lumMod val="60000"/>
              <a:lumOff val="40000"/>
            </a:schemeClr>
          </a:solidFill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0.46286</cdr:x>
      <cdr:y>0.05928</cdr:y>
    </cdr:from>
    <cdr:to>
      <cdr:x>0.75332</cdr:x>
      <cdr:y>0.10825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18736E7-915E-04BB-69F4-9DAD576AC79A}"/>
            </a:ext>
          </a:extLst>
        </cdr:cNvPr>
        <cdr:cNvSpPr txBox="1"/>
      </cdr:nvSpPr>
      <cdr:spPr>
        <a:xfrm xmlns:a="http://schemas.openxmlformats.org/drawingml/2006/main">
          <a:off x="2659380" y="175260"/>
          <a:ext cx="1668780" cy="144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0.44164</cdr:x>
      <cdr:y>0.05412</cdr:y>
    </cdr:from>
    <cdr:to>
      <cdr:x>0.79841</cdr:x>
      <cdr:y>0.14691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8C2A92D-3C8E-24DD-C16C-8D598D642C70}"/>
            </a:ext>
          </a:extLst>
        </cdr:cNvPr>
        <cdr:cNvSpPr txBox="1"/>
      </cdr:nvSpPr>
      <cdr:spPr>
        <a:xfrm xmlns:a="http://schemas.openxmlformats.org/drawingml/2006/main">
          <a:off x="2537460" y="160020"/>
          <a:ext cx="204978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1">
              <a:solidFill>
                <a:schemeClr val="bg1"/>
              </a:solidFill>
            </a:rPr>
            <a:t>Covid-19</a:t>
          </a:r>
          <a:r>
            <a:rPr lang="en-IN" sz="1100" b="1" baseline="0">
              <a:solidFill>
                <a:schemeClr val="bg1"/>
              </a:solidFill>
            </a:rPr>
            <a:t> first and second wave</a:t>
          </a:r>
          <a:endParaRPr lang="en-IN" sz="1100" b="1">
            <a:solidFill>
              <a:schemeClr val="bg1"/>
            </a:solidFill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546485</xdr:colOff>
      <xdr:row>37</xdr:row>
      <xdr:rowOff>169333</xdr:rowOff>
    </xdr:from>
    <xdr:to>
      <xdr:col>18</xdr:col>
      <xdr:colOff>392546</xdr:colOff>
      <xdr:row>50</xdr:row>
      <xdr:rowOff>115455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439A07-6582-D692-1A11-FE5277BC2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YA%20PASWAN\Downloads\CPI%20v0.6.xlsx" TargetMode="External"/><Relationship Id="rId1" Type="http://schemas.openxmlformats.org/officeDocument/2006/relationships/externalLinkPath" Target="/Users/RIYA%20PASWAN/Downloads/CPI%20v0.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Sheet1"/>
      <sheetName val="Problems"/>
      <sheetName val="Problem 1"/>
      <sheetName val="Communication"/>
      <sheetName val="Problem 2"/>
      <sheetName val="Main Data"/>
      <sheetName val="Sheet3"/>
      <sheetName val="PPP"/>
      <sheetName val="Problem 3"/>
      <sheetName val="Problem 4"/>
      <sheetName val="Notes"/>
      <sheetName val="Problem 5"/>
      <sheetName val="Sheet6"/>
      <sheetName val="Cleaning"/>
      <sheetName val="E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H10" t="str">
            <v>Rural</v>
          </cell>
          <cell r="I10" t="str">
            <v>Rural+Urban</v>
          </cell>
          <cell r="J10" t="str">
            <v>Urban</v>
          </cell>
        </row>
        <row r="11">
          <cell r="G11" t="str">
            <v>June-2022</v>
          </cell>
          <cell r="H11">
            <v>9.3676814988290051E-3</v>
          </cell>
          <cell r="I11">
            <v>9.2325447201384546E-3</v>
          </cell>
          <cell r="J11">
            <v>1.0140845070422599E-2</v>
          </cell>
        </row>
        <row r="12">
          <cell r="G12" t="str">
            <v>July-2022</v>
          </cell>
          <cell r="H12">
            <v>5.80046403712264E-4</v>
          </cell>
          <cell r="I12">
            <v>5.7175528873638828E-4</v>
          </cell>
          <cell r="J12">
            <v>5.5772448410482047E-4</v>
          </cell>
        </row>
        <row r="13">
          <cell r="G13" t="str">
            <v>August-2022</v>
          </cell>
          <cell r="H13">
            <v>8.1159420289855407E-3</v>
          </cell>
          <cell r="I13">
            <v>7.4285714285714935E-3</v>
          </cell>
          <cell r="J13">
            <v>5.5741360089186171E-3</v>
          </cell>
        </row>
        <row r="14">
          <cell r="G14" t="str">
            <v>September-2022</v>
          </cell>
          <cell r="H14">
            <v>9.2006900517538487E-3</v>
          </cell>
          <cell r="I14">
            <v>8.5082246171298923E-3</v>
          </cell>
          <cell r="J14">
            <v>7.7605321507760849E-3</v>
          </cell>
        </row>
        <row r="15">
          <cell r="G15" t="str">
            <v>October-2022</v>
          </cell>
          <cell r="H15">
            <v>1.0826210826210859E-2</v>
          </cell>
          <cell r="I15">
            <v>1.0123734533183255E-2</v>
          </cell>
          <cell r="J15">
            <v>8.2508250825082501E-3</v>
          </cell>
        </row>
        <row r="16">
          <cell r="G16" t="str">
            <v>November-2022</v>
          </cell>
          <cell r="H16">
            <v>-4.5095828635851824E-3</v>
          </cell>
          <cell r="I16">
            <v>-7.2383073496658295E-3</v>
          </cell>
          <cell r="J16">
            <v>-1.0911074740861974E-2</v>
          </cell>
        </row>
        <row r="17">
          <cell r="G17" t="str">
            <v>December-2022</v>
          </cell>
          <cell r="H17">
            <v>-1.2457531143827796E-2</v>
          </cell>
          <cell r="I17">
            <v>-1.3460459899046581E-2</v>
          </cell>
          <cell r="J17">
            <v>-1.4892443463872128E-2</v>
          </cell>
        </row>
        <row r="18">
          <cell r="G18" t="str">
            <v>January-2023</v>
          </cell>
          <cell r="H18">
            <v>3.4403669724770315E-3</v>
          </cell>
          <cell r="I18">
            <v>4.5480386583284984E-3</v>
          </cell>
          <cell r="J18">
            <v>5.0391937290033915E-3</v>
          </cell>
        </row>
        <row r="19">
          <cell r="G19" t="str">
            <v>February-2023</v>
          </cell>
          <cell r="H19">
            <v>-1.1428571428570779E-3</v>
          </cell>
          <cell r="I19">
            <v>1.6977928692700134E-3</v>
          </cell>
          <cell r="J19">
            <v>6.6852367688021649E-3</v>
          </cell>
        </row>
        <row r="20">
          <cell r="G20" t="str">
            <v>March-2023</v>
          </cell>
          <cell r="H20">
            <v>0</v>
          </cell>
          <cell r="I20">
            <v>0</v>
          </cell>
          <cell r="J20">
            <v>5.5340343110139867E-4</v>
          </cell>
        </row>
        <row r="21">
          <cell r="G21" t="str">
            <v>April-2023</v>
          </cell>
          <cell r="H21">
            <v>4.0045766590388367E-3</v>
          </cell>
          <cell r="I21">
            <v>5.0847457627118961E-3</v>
          </cell>
          <cell r="J21">
            <v>7.1902654867255691E-3</v>
          </cell>
        </row>
        <row r="22">
          <cell r="G22" t="str">
            <v>May-2023</v>
          </cell>
          <cell r="H22">
            <v>7.4074074074074719E-3</v>
          </cell>
          <cell r="I22">
            <v>6.7453625632377095E-3</v>
          </cell>
          <cell r="J22">
            <v>5.4914881933003845E-3</v>
          </cell>
        </row>
        <row r="106">
          <cell r="C106" t="str">
            <v>% Inflation</v>
          </cell>
        </row>
        <row r="107">
          <cell r="B107" t="str">
            <v>Cereals and products</v>
          </cell>
          <cell r="C107">
            <v>0.12085220029035372</v>
          </cell>
        </row>
        <row r="108">
          <cell r="B108" t="str">
            <v>Meat and fish</v>
          </cell>
          <cell r="C108">
            <v>-1.0960038075584964E-2</v>
          </cell>
          <cell r="Q108" t="str">
            <v>Cereals and products</v>
          </cell>
          <cell r="R108">
            <v>0.12085220029035372</v>
          </cell>
          <cell r="S108">
            <v>0.12601803352788893</v>
          </cell>
          <cell r="T108">
            <v>0.10948121428393404</v>
          </cell>
        </row>
        <row r="109">
          <cell r="B109" t="str">
            <v>Egg</v>
          </cell>
          <cell r="C109">
            <v>7.5858020928857975E-2</v>
          </cell>
          <cell r="Q109" t="str">
            <v>Meat and fish</v>
          </cell>
          <cell r="R109">
            <v>-1.0960038075584964E-2</v>
          </cell>
          <cell r="S109">
            <v>-1.3415927239515419E-2</v>
          </cell>
          <cell r="T109">
            <v>-6.639897831265909E-3</v>
          </cell>
        </row>
        <row r="110">
          <cell r="B110" t="str">
            <v>Milk and products</v>
          </cell>
          <cell r="C110">
            <v>8.5207275393248891E-2</v>
          </cell>
          <cell r="Q110" t="str">
            <v>Egg</v>
          </cell>
          <cell r="R110">
            <v>7.5858020928857975E-2</v>
          </cell>
          <cell r="S110">
            <v>6.9027470519994569E-2</v>
          </cell>
          <cell r="T110">
            <v>8.5789646476304438E-2</v>
          </cell>
        </row>
        <row r="111">
          <cell r="B111" t="str">
            <v>Spices</v>
          </cell>
          <cell r="C111">
            <v>0.16602381892132637</v>
          </cell>
          <cell r="Q111" t="str">
            <v>Milk and products</v>
          </cell>
          <cell r="R111">
            <v>8.5207275393248891E-2</v>
          </cell>
          <cell r="S111">
            <v>8.7604842900340665E-2</v>
          </cell>
          <cell r="T111">
            <v>8.1608183959908737E-2</v>
          </cell>
        </row>
        <row r="112">
          <cell r="B112" t="str">
            <v>Oils and fats</v>
          </cell>
          <cell r="C112">
            <v>-0.17196654140370343</v>
          </cell>
          <cell r="Q112" t="str">
            <v>Spices</v>
          </cell>
          <cell r="R112">
            <v>0.16602381892132637</v>
          </cell>
          <cell r="S112">
            <v>0.17060794533039508</v>
          </cell>
          <cell r="T112">
            <v>0.1566574174276722</v>
          </cell>
        </row>
        <row r="113">
          <cell r="B113" t="str">
            <v>Fruits</v>
          </cell>
          <cell r="C113">
            <v>1.212892331833881E-2</v>
          </cell>
          <cell r="Q113" t="str">
            <v>Oils and fats</v>
          </cell>
          <cell r="R113">
            <v>-0.17196654140370343</v>
          </cell>
          <cell r="S113">
            <v>-0.18860073732493318</v>
          </cell>
          <cell r="T113">
            <v>-0.14039869277175199</v>
          </cell>
        </row>
        <row r="114">
          <cell r="B114" t="str">
            <v>Vegetables</v>
          </cell>
          <cell r="C114">
            <v>-6.6466572857876549E-2</v>
          </cell>
          <cell r="Q114" t="str">
            <v>Fruits</v>
          </cell>
          <cell r="R114">
            <v>1.212892331833881E-2</v>
          </cell>
          <cell r="S114">
            <v>1.0550729170309782E-2</v>
          </cell>
          <cell r="T114">
            <v>1.3452894126808595E-2</v>
          </cell>
        </row>
        <row r="115">
          <cell r="B115" t="str">
            <v>Pulses and products</v>
          </cell>
          <cell r="C115">
            <v>6.4492479670082731E-2</v>
          </cell>
          <cell r="Q115" t="str">
            <v>Vegetables</v>
          </cell>
          <cell r="R115">
            <v>-6.6466572857876549E-2</v>
          </cell>
          <cell r="S115">
            <v>-5.9844646584606448E-2</v>
          </cell>
          <cell r="T115">
            <v>-7.5795670153252434E-2</v>
          </cell>
        </row>
        <row r="116">
          <cell r="B116" t="str">
            <v>Sugar and Confectionery</v>
          </cell>
          <cell r="C116">
            <v>2.4990010110495772E-2</v>
          </cell>
          <cell r="Q116" t="str">
            <v>Pulses and products</v>
          </cell>
          <cell r="R116">
            <v>6.4492479670082731E-2</v>
          </cell>
          <cell r="S116">
            <v>5.8650424856599249E-2</v>
          </cell>
          <cell r="T116">
            <v>7.5611128143722547E-2</v>
          </cell>
        </row>
        <row r="117">
          <cell r="B117" t="str">
            <v>Non-alcoholic beverages</v>
          </cell>
          <cell r="C117">
            <v>3.7075142679248593E-2</v>
          </cell>
          <cell r="Q117" t="str">
            <v>Sugar and Confectionery</v>
          </cell>
          <cell r="R117">
            <v>2.4990010110495772E-2</v>
          </cell>
          <cell r="S117">
            <v>2.5192886014239267E-2</v>
          </cell>
          <cell r="T117">
            <v>2.4616706238015207E-2</v>
          </cell>
        </row>
        <row r="118">
          <cell r="B118" t="str">
            <v>Prepared meals, snacks, sweets etc.</v>
          </cell>
          <cell r="C118">
            <v>6.2333124010194668E-2</v>
          </cell>
          <cell r="Q118" t="str">
            <v>Non-alcoholic beverages</v>
          </cell>
          <cell r="R118">
            <v>3.7075142679248593E-2</v>
          </cell>
          <cell r="S118">
            <v>3.131543042249578E-2</v>
          </cell>
          <cell r="T118">
            <v>4.5734300024166549E-2</v>
          </cell>
        </row>
        <row r="119">
          <cell r="Q119" t="str">
            <v>Prepared meals, snacks, sweets etc.</v>
          </cell>
          <cell r="R119">
            <v>6.2333124010194668E-2</v>
          </cell>
          <cell r="S119">
            <v>5.7787078677428043E-2</v>
          </cell>
          <cell r="T119">
            <v>6.7173674108132769E-2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IYA%20PASWAN/Downloads/CPI%20v0.6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YA PASWAN" refreshedDate="45505.969418171298" createdVersion="8" refreshedVersion="8" minRefreshableVersion="3" recordCount="372" xr:uid="{CE33B192-B539-44FC-8BF1-5E077FD490C6}">
  <cacheSource type="worksheet">
    <worksheetSource ref="A1:AI373" sheet="Main data"/>
  </cacheSource>
  <cacheFields count="35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23"/>
        <n v="2022"/>
        <n v="2021"/>
        <n v="2020"/>
        <n v="2019"/>
        <n v="2018"/>
        <n v="2017"/>
        <n v="2016"/>
        <n v="2015"/>
        <n v="2014"/>
        <n v="2013"/>
      </sharedItems>
    </cacheField>
    <cacheField name="Month" numFmtId="0">
      <sharedItems/>
    </cacheField>
    <cacheField name="Cereals and products" numFmtId="164">
      <sharedItems containsSemiMixedTypes="0" containsString="0" containsNumber="1" minValue="107.5" maxValue="174.8"/>
    </cacheField>
    <cacheField name="Meat and fish" numFmtId="164">
      <sharedItems containsSemiMixedTypes="0" containsString="0" containsNumber="1" minValue="106.3" maxValue="223.4"/>
    </cacheField>
    <cacheField name="Egg" numFmtId="164">
      <sharedItems containsSemiMixedTypes="0" containsString="0" containsNumber="1" minValue="102.7" maxValue="197"/>
    </cacheField>
    <cacheField name="Milk and products" numFmtId="164">
      <sharedItems containsSemiMixedTypes="0" containsString="0" containsNumber="1" minValue="103.6" maxValue="179.6"/>
    </cacheField>
    <cacheField name="Oils and fats" numFmtId="164">
      <sharedItems containsSemiMixedTypes="0" containsString="0" containsNumber="1" minValue="101.1" maxValue="209.9"/>
    </cacheField>
    <cacheField name="Fruits" numFmtId="164">
      <sharedItems containsSemiMixedTypes="0" containsString="0" containsNumber="1" minValue="102.3" maxValue="179.5"/>
    </cacheField>
    <cacheField name="Vegetables" numFmtId="164">
      <sharedItems containsSemiMixedTypes="0" containsString="0" containsNumber="1" minValue="101.4" maxValue="245.3"/>
    </cacheField>
    <cacheField name="Pulses and products" numFmtId="164">
      <sharedItems containsSemiMixedTypes="0" containsString="0" containsNumber="1" minValue="103.5" maxValue="191.6"/>
    </cacheField>
    <cacheField name="Sugar and Confectionery" numFmtId="164">
      <sharedItems containsSemiMixedTypes="0" containsString="0" containsNumber="1" minValue="85.3" maxValue="124.2"/>
    </cacheField>
    <cacheField name="Spices" numFmtId="164">
      <sharedItems containsSemiMixedTypes="0" containsString="0" containsNumber="1" minValue="101.8" maxValue="221"/>
    </cacheField>
    <cacheField name="Non-alcoholic beverages" numFmtId="164">
      <sharedItems containsSemiMixedTypes="0" containsString="0" containsNumber="1" minValue="104.8" maxValue="178.7"/>
    </cacheField>
    <cacheField name="Prepared meals, snacks, sweets etc." numFmtId="164">
      <sharedItems containsSemiMixedTypes="0" containsString="0" containsNumber="1" minValue="106.7" maxValue="197.7"/>
    </cacheField>
    <cacheField name="Food and beverages" numFmtId="164">
      <sharedItems containsSemiMixedTypes="0" containsString="0" containsNumber="1" minValue="105.5" maxValue="183.3"/>
    </cacheField>
    <cacheField name="Food" numFmtId="164">
      <sharedItems containsSemiMixedTypes="0" containsString="0" containsNumber="1" minValue="1371.6999999999998" maxValue="2335.1"/>
    </cacheField>
    <cacheField name="Pan, tobacco and intoxicants" numFmtId="164">
      <sharedItems containsSemiMixedTypes="0" containsString="0" containsNumber="1" minValue="105.1" maxValue="204.2"/>
    </cacheField>
    <cacheField name="Clothing" numFmtId="164">
      <sharedItems containsSemiMixedTypes="0" containsString="0" containsNumber="1" minValue="105.9" maxValue="191.2"/>
    </cacheField>
    <cacheField name="Footwear" numFmtId="164">
      <sharedItems containsSemiMixedTypes="0" containsString="0" containsNumber="1" minValue="105" maxValue="187.9"/>
    </cacheField>
    <cacheField name="Clothing and footwear" numFmtId="164">
      <sharedItems containsSemiMixedTypes="0" containsString="0" containsNumber="1" minValue="105.8" maxValue="190.8"/>
    </cacheField>
    <cacheField name="Apparel" numFmtId="164">
      <sharedItems containsSemiMixedTypes="0" containsString="0" containsNumber="1" minValue="316.7" maxValue="569.90000000000009"/>
    </cacheField>
    <cacheField name="Housing" numFmtId="0">
      <sharedItems containsMixedTypes="1" containsNumber="1" minValue="100.3" maxValue="175.6"/>
    </cacheField>
    <cacheField name="Housing2" numFmtId="164">
      <sharedItems containsSemiMixedTypes="0" containsString="0" containsNumber="1" minValue="100.3" maxValue="175.6"/>
    </cacheField>
    <cacheField name="Fuel and light" numFmtId="164">
      <sharedItems containsSemiMixedTypes="0" containsString="0" containsNumber="1" minValue="105.4" maxValue="183.4"/>
    </cacheField>
    <cacheField name="Household goods and services" numFmtId="164">
      <sharedItems containsSemiMixedTypes="0" containsString="0" containsNumber="1" minValue="104.8" maxValue="179.8"/>
    </cacheField>
    <cacheField name="Health" numFmtId="164">
      <sharedItems containsSemiMixedTypes="0" containsString="0" containsNumber="1" minValue="104" maxValue="187.8"/>
    </cacheField>
    <cacheField name="Transport and communication" numFmtId="164">
      <sharedItems containsSemiMixedTypes="0" containsString="0" containsNumber="1" minValue="103.2" maxValue="169.7"/>
    </cacheField>
    <cacheField name="Recreation and amusement" numFmtId="164">
      <sharedItems containsSemiMixedTypes="0" containsString="0" containsNumber="1" minValue="102.9" maxValue="173.8"/>
    </cacheField>
    <cacheField name="Education" numFmtId="164">
      <sharedItems containsSemiMixedTypes="0" containsString="0" containsNumber="1" minValue="103.5" maxValue="180.3"/>
    </cacheField>
    <cacheField name="Personal care and effects" numFmtId="164">
      <sharedItems containsSemiMixedTypes="0" containsString="0" containsNumber="1" minValue="102.1" maxValue="185.6"/>
    </cacheField>
    <cacheField name="Miscellaneous" numFmtId="164">
      <sharedItems containsSemiMixedTypes="0" containsString="0" containsNumber="1" minValue="103.7" maxValue="179.5"/>
    </cacheField>
    <cacheField name="Miscellaneous new" numFmtId="164">
      <sharedItems containsSemiMixedTypes="0" containsString="0" containsNumber="1" minValue="518.9" maxValue="887.69999999999993"/>
    </cacheField>
    <cacheField name="General index" numFmtId="164">
      <sharedItems containsSemiMixedTypes="0" containsString="0" containsNumber="1" minValue="104" maxValue="179.8"/>
    </cacheField>
    <cacheField name="Year-month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452.761949884261" createdVersion="8" refreshedVersion="8" minRefreshableVersion="3" recordCount="372" xr:uid="{D704E671-23FF-4425-A657-DC32C4725C30}">
  <cacheSource type="worksheet">
    <worksheetSource ref="A1:AH373" sheet="Main Data" r:id="rId2"/>
  </cacheSource>
  <cacheFields count="34">
    <cacheField name="Sector" numFmtId="0">
      <sharedItems count="3">
        <s v="Rural"/>
        <s v="Urban"/>
        <s v="Rural+Urban"/>
      </sharedItems>
    </cacheField>
    <cacheField name="Year" numFmtId="0">
      <sharedItems count="11">
        <s v="2013"/>
        <s v="2014"/>
        <s v="2015"/>
        <s v="2016"/>
        <s v="2017"/>
        <s v="2018"/>
        <s v="2019"/>
        <s v="2020"/>
        <s v="2021"/>
        <s v="2022"/>
        <s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Cereals and products" numFmtId="0">
      <sharedItems containsSemiMixedTypes="0" containsString="0" containsNumber="1" minValue="107.5" maxValue="174.8"/>
    </cacheField>
    <cacheField name="Meat and fish" numFmtId="0">
      <sharedItems containsSemiMixedTypes="0" containsString="0" containsNumber="1" minValue="106.3" maxValue="223.4"/>
    </cacheField>
    <cacheField name="Egg" numFmtId="0">
      <sharedItems containsSemiMixedTypes="0" containsString="0" containsNumber="1" minValue="102.7" maxValue="197"/>
    </cacheField>
    <cacheField name="Milk and products" numFmtId="0">
      <sharedItems containsSemiMixedTypes="0" containsString="0" containsNumber="1" minValue="103.6" maxValue="179.6"/>
    </cacheField>
    <cacheField name="Oils and fats" numFmtId="0">
      <sharedItems containsSemiMixedTypes="0" containsString="0" containsNumber="1" minValue="101.1" maxValue="209.9"/>
    </cacheField>
    <cacheField name="Fruits" numFmtId="0">
      <sharedItems containsSemiMixedTypes="0" containsString="0" containsNumber="1" minValue="102.3" maxValue="179.5"/>
    </cacheField>
    <cacheField name="Vegetables" numFmtId="0">
      <sharedItems containsSemiMixedTypes="0" containsString="0" containsNumber="1" minValue="101.4" maxValue="245.3"/>
    </cacheField>
    <cacheField name="Pulses and products" numFmtId="0">
      <sharedItems containsSemiMixedTypes="0" containsString="0" containsNumber="1" minValue="103.5" maxValue="191.6"/>
    </cacheField>
    <cacheField name="Sugar and Confectionery" numFmtId="0">
      <sharedItems containsSemiMixedTypes="0" containsString="0" containsNumber="1" minValue="85.3" maxValue="124.2"/>
    </cacheField>
    <cacheField name="Spices" numFmtId="0">
      <sharedItems containsSemiMixedTypes="0" containsString="0" containsNumber="1" minValue="101.8" maxValue="221"/>
    </cacheField>
    <cacheField name="Non-alcoholic beverages" numFmtId="0">
      <sharedItems containsSemiMixedTypes="0" containsString="0" containsNumber="1" minValue="104.8" maxValue="178.7"/>
    </cacheField>
    <cacheField name="Prepared meals, snacks, sweets etc." numFmtId="0">
      <sharedItems containsSemiMixedTypes="0" containsString="0" containsNumber="1" minValue="106.7" maxValue="197.7"/>
    </cacheField>
    <cacheField name="Food and beverages" numFmtId="0">
      <sharedItems containsSemiMixedTypes="0" containsString="0" containsNumber="1" minValue="105.5" maxValue="183.3"/>
    </cacheField>
    <cacheField name="Sum food" numFmtId="0">
      <sharedItems containsSemiMixedTypes="0" containsString="0" containsNumber="1" minValue="1266.1999999999998" maxValue="2152"/>
    </cacheField>
    <cacheField name="Pan, tobacco and intoxicants" numFmtId="0">
      <sharedItems containsSemiMixedTypes="0" containsString="0" containsNumber="1" minValue="105.1" maxValue="204.2"/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SUM CF" numFmtId="0">
      <sharedItems containsSemiMixedTypes="0" containsString="0" containsNumber="1" minValue="210.9" maxValue="379.1"/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MM" numFmtId="0">
      <sharedItems containsSemiMixedTypes="0" containsString="0" containsNumber="1" minValue="622.79999999999995" maxValue="1076.3"/>
    </cacheField>
    <cacheField name="General index" numFmtId="0">
      <sharedItems containsSemiMixedTypes="0" containsString="0" containsNumber="1" minValue="104" maxValue="179.8"/>
    </cacheField>
    <cacheField name="Year month" numFmtId="0">
      <sharedItems count="252">
        <s v="January-2013"/>
        <s v="February-2013"/>
        <s v="March-2013"/>
        <s v="April-2013"/>
        <s v="May-2013"/>
        <s v="June-2013"/>
        <s v="July-2013"/>
        <s v="August-2013"/>
        <s v="September-2013"/>
        <s v="October-2013"/>
        <s v="November -2013"/>
        <s v="November-2013"/>
        <s v="December-2013"/>
        <s v="January-2014"/>
        <s v="February-2014"/>
        <s v="March-2014"/>
        <s v="April-2014"/>
        <s v="May-2014"/>
        <s v="June-2014"/>
        <s v="July-2014"/>
        <s v="August-2014"/>
        <s v="September-2014"/>
        <s v="October-2014"/>
        <s v="November-2014"/>
        <s v="December-2014"/>
        <s v="January-2015"/>
        <s v="February-2015"/>
        <s v="March-2015"/>
        <s v="April-2015"/>
        <s v="May-2015"/>
        <s v="June-2015"/>
        <s v="July-2015"/>
        <s v="August-2015"/>
        <s v="September-2015"/>
        <s v="October-2015"/>
        <s v="November-2015"/>
        <s v="December-2015"/>
        <s v="January-2016"/>
        <s v="February-2016"/>
        <s v="March-2016"/>
        <s v="April-2016"/>
        <s v="May-2016"/>
        <s v="June-2016"/>
        <s v="July-2016"/>
        <s v="August-2016"/>
        <s v="September-2016"/>
        <s v="October-2016"/>
        <s v="November-2016"/>
        <s v="December-2016"/>
        <s v="January-2017"/>
        <s v="February-2017"/>
        <s v="March-2017"/>
        <s v="April-2017"/>
        <s v="May-2017"/>
        <s v="June-2017"/>
        <s v="July-2017"/>
        <s v="August-2017"/>
        <s v="September-2017"/>
        <s v="October-2017"/>
        <s v="November-2017"/>
        <s v="December-2017"/>
        <s v="January-2018"/>
        <s v="February-2018"/>
        <s v="March-2018"/>
        <s v="April-2018"/>
        <s v="May-2018"/>
        <s v="June-2018"/>
        <s v="July-2018"/>
        <s v="August-2018"/>
        <s v="September-2018"/>
        <s v="October-2018"/>
        <s v="November-2018"/>
        <s v="December-2018"/>
        <s v="January-2019"/>
        <s v="February-2019"/>
        <s v="March-2019"/>
        <s v="May-2019"/>
        <s v="June-2019"/>
        <s v="July-2019"/>
        <s v="August-2019"/>
        <s v="September-2019"/>
        <s v="October-2019"/>
        <s v="November-2019"/>
        <s v="December-2019"/>
        <s v="January-2020"/>
        <s v="February-2020"/>
        <s v="March-2020"/>
        <s v="April-2020"/>
        <s v="May-2020"/>
        <s v="June-2020"/>
        <s v="July-2020"/>
        <s v="August-2020"/>
        <s v="September-2020"/>
        <s v="October-2020"/>
        <s v="November-2020"/>
        <s v="December-2020"/>
        <s v="January-2021"/>
        <s v="February-2021"/>
        <s v="March-2021"/>
        <s v="April-2021"/>
        <s v="May-2021"/>
        <s v="June-2021"/>
        <s v="July-2021"/>
        <s v="August-2021"/>
        <s v="September-2021"/>
        <s v="October-2021"/>
        <s v="November-2021"/>
        <s v="December-2021"/>
        <s v="January-2022"/>
        <s v="February-2022"/>
        <s v="March-2022"/>
        <s v="April-2022"/>
        <s v="May-2022"/>
        <s v="June-2022"/>
        <s v="July-2022"/>
        <s v="August-2022"/>
        <s v="September-2022"/>
        <s v="October-2022"/>
        <s v="November-2022"/>
        <s v="December-2022"/>
        <s v="January-2023"/>
        <s v="February-2023"/>
        <s v="March-2023"/>
        <s v="April-2023"/>
        <s v="May-2023"/>
        <s v="Marcrh-2014" u="1"/>
        <s v="2013-January" u="1"/>
        <s v="2013-February" u="1"/>
        <s v="2013-March" u="1"/>
        <s v="2013-April" u="1"/>
        <s v="2013-May" u="1"/>
        <s v="2013-June" u="1"/>
        <s v="2013-July" u="1"/>
        <s v="2013-August" u="1"/>
        <s v="2013-September" u="1"/>
        <s v="2013-October" u="1"/>
        <s v="2013-November " u="1"/>
        <s v="2013-November" u="1"/>
        <s v="2013-December" u="1"/>
        <s v="2014-January" u="1"/>
        <s v="2014-February" u="1"/>
        <s v="2014-March" u="1"/>
        <s v="2014-Marcrh" u="1"/>
        <s v="2014-April" u="1"/>
        <s v="2014-May" u="1"/>
        <s v="2014-June" u="1"/>
        <s v="2014-July" u="1"/>
        <s v="2014-August" u="1"/>
        <s v="2014-September" u="1"/>
        <s v="2014-October" u="1"/>
        <s v="2014-November" u="1"/>
        <s v="2014-December" u="1"/>
        <s v="2015-January" u="1"/>
        <s v="2015-February" u="1"/>
        <s v="2015-March" u="1"/>
        <s v="2015-April" u="1"/>
        <s v="2015-May" u="1"/>
        <s v="2015-June" u="1"/>
        <s v="2015-July" u="1"/>
        <s v="2015-August" u="1"/>
        <s v="2015-September" u="1"/>
        <s v="2015-October" u="1"/>
        <s v="2015-November" u="1"/>
        <s v="2015-December" u="1"/>
        <s v="2016-January" u="1"/>
        <s v="2016-February" u="1"/>
        <s v="2016-March" u="1"/>
        <s v="2016-April" u="1"/>
        <s v="2016-May" u="1"/>
        <s v="2016-June" u="1"/>
        <s v="2016-July" u="1"/>
        <s v="2016-August" u="1"/>
        <s v="2016-September" u="1"/>
        <s v="2016-October" u="1"/>
        <s v="2016-November" u="1"/>
        <s v="2016-December" u="1"/>
        <s v="2017-January" u="1"/>
        <s v="2017-February" u="1"/>
        <s v="2017-March" u="1"/>
        <s v="2017-April" u="1"/>
        <s v="2017-May" u="1"/>
        <s v="2017-June" u="1"/>
        <s v="2017-July" u="1"/>
        <s v="2017-August" u="1"/>
        <s v="2017-September" u="1"/>
        <s v="2017-October" u="1"/>
        <s v="2017-November" u="1"/>
        <s v="2017-December" u="1"/>
        <s v="2018-January" u="1"/>
        <s v="2018-February" u="1"/>
        <s v="2018-March" u="1"/>
        <s v="2018-April" u="1"/>
        <s v="2018-May" u="1"/>
        <s v="2018-June" u="1"/>
        <s v="2018-July" u="1"/>
        <s v="2018-August" u="1"/>
        <s v="2018-September" u="1"/>
        <s v="2018-October" u="1"/>
        <s v="2018-November" u="1"/>
        <s v="2018-December" u="1"/>
        <s v="2019-January" u="1"/>
        <s v="2019-February" u="1"/>
        <s v="2019-March" u="1"/>
        <s v="2019-May" u="1"/>
        <s v="2019-June" u="1"/>
        <s v="2019-July" u="1"/>
        <s v="2019-August" u="1"/>
        <s v="2019-September" u="1"/>
        <s v="2019-October" u="1"/>
        <s v="2019-November" u="1"/>
        <s v="2019-December" u="1"/>
        <s v="2020-January" u="1"/>
        <s v="2020-February" u="1"/>
        <s v="2020-March" u="1"/>
        <s v="2020-April" u="1"/>
        <s v="2020-May" u="1"/>
        <s v="2020-June" u="1"/>
        <s v="2020-July" u="1"/>
        <s v="2020-August" u="1"/>
        <s v="2020-September" u="1"/>
        <s v="2020-October" u="1"/>
        <s v="2020-November" u="1"/>
        <s v="2020-December" u="1"/>
        <s v="2021-January" u="1"/>
        <s v="2021-February" u="1"/>
        <s v="2021-March" u="1"/>
        <s v="2021-April" u="1"/>
        <s v="2021-May" u="1"/>
        <s v="2021-June" u="1"/>
        <s v="2021-July" u="1"/>
        <s v="2021-August" u="1"/>
        <s v="2021-September" u="1"/>
        <s v="2021-October" u="1"/>
        <s v="2021-November" u="1"/>
        <s v="2021-December" u="1"/>
        <s v="2022-January" u="1"/>
        <s v="2022-February" u="1"/>
        <s v="2022-March" u="1"/>
        <s v="2022-April" u="1"/>
        <s v="2022-May" u="1"/>
        <s v="2022-June" u="1"/>
        <s v="2022-July" u="1"/>
        <s v="2022-August" u="1"/>
        <s v="2022-September" u="1"/>
        <s v="2022-October" u="1"/>
        <s v="2022-November" u="1"/>
        <s v="2022-December" u="1"/>
        <s v="2023-January" u="1"/>
        <s v="2023-February" u="1"/>
        <s v="2023-March" u="1"/>
        <s v="2023-April" u="1"/>
        <s v="2023-May" u="1"/>
      </sharedItems>
    </cacheField>
  </cacheFields>
  <extLst>
    <ext xmlns:x14="http://schemas.microsoft.com/office/spreadsheetml/2009/9/main" uri="{725AE2AE-9491-48be-B2B4-4EB974FC3084}">
      <x14:pivotCacheDefinition pivotCacheId="8229476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s v="May"/>
    <n v="173.2"/>
    <n v="211.5"/>
    <n v="171"/>
    <n v="179.6"/>
    <n v="173.3"/>
    <n v="169"/>
    <n v="148.69999999999999"/>
    <n v="174.9"/>
    <n v="121.9"/>
    <n v="221"/>
    <n v="178.7"/>
    <n v="191.1"/>
    <n v="176.8"/>
    <n v="2290.7000000000007"/>
    <n v="199.9"/>
    <n v="191.2"/>
    <n v="187.9"/>
    <n v="190.8"/>
    <n v="569.90000000000009"/>
    <s v="-"/>
    <n v="174"/>
    <n v="182.5"/>
    <n v="179.8"/>
    <n v="187.8"/>
    <n v="169.7"/>
    <n v="173.8"/>
    <n v="180.3"/>
    <n v="184.9"/>
    <n v="179.5"/>
    <n v="887.69999999999993"/>
    <n v="179.8"/>
    <s v="2023 May"/>
  </r>
  <r>
    <x v="1"/>
    <x v="0"/>
    <s v="May"/>
    <n v="174.7"/>
    <n v="219.4"/>
    <n v="176.7"/>
    <n v="179.4"/>
    <n v="164.4"/>
    <n v="175.8"/>
    <n v="185"/>
    <n v="176.9"/>
    <n v="124.2"/>
    <n v="211.9"/>
    <n v="165.9"/>
    <n v="197.7"/>
    <n v="183.1"/>
    <n v="2335.1"/>
    <n v="204.2"/>
    <n v="181.3"/>
    <n v="168.1"/>
    <n v="179.3"/>
    <n v="528.70000000000005"/>
    <n v="175.6"/>
    <n v="175.6"/>
    <n v="183.4"/>
    <n v="170.1"/>
    <n v="182.2"/>
    <n v="160.4"/>
    <n v="169.2"/>
    <n v="174.8"/>
    <n v="185.6"/>
    <n v="171.6"/>
    <n v="856.9"/>
    <n v="178.2"/>
    <s v="2023 May"/>
  </r>
  <r>
    <x v="0"/>
    <x v="0"/>
    <s v="March"/>
    <n v="174.3"/>
    <n v="205.2"/>
    <n v="173.9"/>
    <n v="177"/>
    <n v="183.3"/>
    <n v="167.2"/>
    <n v="140.9"/>
    <n v="170.5"/>
    <n v="119.1"/>
    <n v="212.1"/>
    <n v="177.6"/>
    <n v="189.9"/>
    <n v="174.8"/>
    <n v="2265.8000000000002"/>
    <n v="198.4"/>
    <n v="190"/>
    <n v="187"/>
    <n v="189.6"/>
    <n v="566.6"/>
    <s v="NA"/>
    <n v="174"/>
    <n v="181.4"/>
    <n v="178.6"/>
    <n v="186.6"/>
    <n v="169"/>
    <n v="172.8"/>
    <n v="178.5"/>
    <n v="180.7"/>
    <n v="177.9"/>
    <n v="879.00000000000011"/>
    <n v="178"/>
    <s v="2023 March"/>
  </r>
  <r>
    <x v="1"/>
    <x v="0"/>
    <s v="March"/>
    <n v="174.7"/>
    <n v="212.2"/>
    <n v="177.2"/>
    <n v="177.9"/>
    <n v="172.2"/>
    <n v="172.1"/>
    <n v="175.9"/>
    <n v="172.2"/>
    <n v="121.9"/>
    <n v="204.8"/>
    <n v="164.9"/>
    <n v="196.6"/>
    <n v="180.8"/>
    <n v="2303.4"/>
    <n v="202.7"/>
    <n v="180.2"/>
    <n v="167"/>
    <n v="178.2"/>
    <n v="525.4"/>
    <n v="173.5"/>
    <n v="173.5"/>
    <n v="182.6"/>
    <n v="169.2"/>
    <n v="180.8"/>
    <n v="159.80000000000001"/>
    <n v="168.4"/>
    <n v="172.5"/>
    <n v="181.5"/>
    <n v="170"/>
    <n v="848.9"/>
    <n v="176.3"/>
    <s v="2023 March"/>
  </r>
  <r>
    <x v="0"/>
    <x v="0"/>
    <s v="January"/>
    <n v="174"/>
    <n v="208.3"/>
    <n v="192.9"/>
    <n v="174.3"/>
    <n v="192.6"/>
    <n v="156.30000000000001"/>
    <n v="142.9"/>
    <n v="170.7"/>
    <n v="120.3"/>
    <n v="210.5"/>
    <n v="176.9"/>
    <n v="188.5"/>
    <n v="175"/>
    <n v="2283.2000000000003"/>
    <n v="196.9"/>
    <n v="189"/>
    <n v="186.3"/>
    <n v="188.6"/>
    <n v="563.9"/>
    <s v="NA"/>
    <n v="174"/>
    <n v="183.2"/>
    <n v="177.2"/>
    <n v="184.7"/>
    <n v="168.2"/>
    <n v="171.8"/>
    <n v="177.8"/>
    <n v="178.4"/>
    <n v="176.5"/>
    <n v="872.1"/>
    <n v="177.8"/>
    <s v="2023 January"/>
  </r>
  <r>
    <x v="1"/>
    <x v="0"/>
    <s v="January"/>
    <n v="173.3"/>
    <n v="215.2"/>
    <n v="197"/>
    <n v="175.2"/>
    <n v="178"/>
    <n v="160.5"/>
    <n v="175.3"/>
    <n v="171.2"/>
    <n v="122.7"/>
    <n v="204.3"/>
    <n v="163.69999999999999"/>
    <n v="194.3"/>
    <n v="179.5"/>
    <n v="2310.2000000000003"/>
    <n v="201.6"/>
    <n v="178.7"/>
    <n v="165.3"/>
    <n v="176.6"/>
    <n v="520.6"/>
    <n v="172.1"/>
    <n v="172.1"/>
    <n v="180.1"/>
    <n v="168"/>
    <n v="178.5"/>
    <n v="159.5"/>
    <n v="167.8"/>
    <n v="171.8"/>
    <n v="178.8"/>
    <n v="168.9"/>
    <n v="843"/>
    <n v="174.9"/>
    <s v="2023 January"/>
  </r>
  <r>
    <x v="0"/>
    <x v="0"/>
    <s v="February"/>
    <n v="174.2"/>
    <n v="205.2"/>
    <n v="173.9"/>
    <n v="177"/>
    <n v="183.4"/>
    <n v="167.2"/>
    <n v="140.9"/>
    <n v="170.4"/>
    <n v="119.1"/>
    <n v="212.1"/>
    <n v="177.6"/>
    <n v="189.9"/>
    <n v="174.8"/>
    <n v="2265.6999999999998"/>
    <n v="198.3"/>
    <n v="190"/>
    <n v="187"/>
    <n v="189.6"/>
    <n v="566.6"/>
    <s v="NA"/>
    <n v="174"/>
    <n v="181.6"/>
    <n v="178.6"/>
    <n v="186.6"/>
    <n v="169"/>
    <n v="172.8"/>
    <n v="178.5"/>
    <n v="180.7"/>
    <n v="177.9"/>
    <n v="879.00000000000011"/>
    <n v="178"/>
    <s v="2023 February"/>
  </r>
  <r>
    <x v="1"/>
    <x v="0"/>
    <s v="February"/>
    <n v="174.7"/>
    <n v="212.2"/>
    <n v="177.2"/>
    <n v="177.9"/>
    <n v="172.2"/>
    <n v="172.1"/>
    <n v="175.8"/>
    <n v="172.2"/>
    <n v="121.9"/>
    <n v="204.8"/>
    <n v="164.9"/>
    <n v="196.6"/>
    <n v="180.7"/>
    <n v="2303.1999999999998"/>
    <n v="202.7"/>
    <n v="180.3"/>
    <n v="167"/>
    <n v="178.2"/>
    <n v="525.5"/>
    <n v="173.5"/>
    <n v="173.5"/>
    <n v="182.8"/>
    <n v="169.2"/>
    <n v="180.8"/>
    <n v="159.80000000000001"/>
    <n v="168.4"/>
    <n v="172.5"/>
    <n v="181.4"/>
    <n v="170"/>
    <n v="848.8"/>
    <n v="176.3"/>
    <s v="2023 February"/>
  </r>
  <r>
    <x v="0"/>
    <x v="0"/>
    <s v="April"/>
    <n v="173.3"/>
    <n v="206.9"/>
    <n v="167.9"/>
    <n v="178.2"/>
    <n v="178.5"/>
    <n v="173.7"/>
    <n v="142.80000000000001"/>
    <n v="172.8"/>
    <n v="120.4"/>
    <n v="215.5"/>
    <n v="178.2"/>
    <n v="190.5"/>
    <n v="175.5"/>
    <n v="2274.1999999999998"/>
    <n v="199.5"/>
    <n v="190.7"/>
    <n v="187.3"/>
    <n v="190.2"/>
    <n v="568.20000000000005"/>
    <s v="-"/>
    <n v="174"/>
    <n v="181.5"/>
    <n v="179.1"/>
    <n v="187.2"/>
    <n v="169.4"/>
    <n v="173.2"/>
    <n v="179.4"/>
    <n v="183.8"/>
    <n v="178.9"/>
    <n v="884.4"/>
    <n v="178.8"/>
    <s v="2023 April"/>
  </r>
  <r>
    <x v="1"/>
    <x v="0"/>
    <s v="April"/>
    <n v="174.8"/>
    <n v="213.7"/>
    <n v="172.4"/>
    <n v="178.8"/>
    <n v="168.7"/>
    <n v="179.2"/>
    <n v="179.9"/>
    <n v="174.7"/>
    <n v="123.1"/>
    <n v="207.8"/>
    <n v="165.5"/>
    <n v="197"/>
    <n v="182.1"/>
    <n v="2317.7000000000003"/>
    <n v="203.5"/>
    <n v="181"/>
    <n v="167.7"/>
    <n v="178.9"/>
    <n v="527.6"/>
    <n v="175.2"/>
    <n v="175.2"/>
    <n v="182.1"/>
    <n v="169.6"/>
    <n v="181.5"/>
    <n v="160.1"/>
    <n v="168.8"/>
    <n v="174.2"/>
    <n v="184.4"/>
    <n v="170.9"/>
    <n v="853.8"/>
    <n v="177.4"/>
    <s v="2023 April"/>
  </r>
  <r>
    <x v="2"/>
    <x v="0"/>
    <s v="May"/>
    <n v="173.7"/>
    <n v="214.3"/>
    <n v="173.2"/>
    <n v="179.5"/>
    <n v="170"/>
    <n v="172.2"/>
    <n v="161"/>
    <n v="175.6"/>
    <n v="122.7"/>
    <n v="218"/>
    <n v="173.4"/>
    <n v="194.2"/>
    <n v="179.1"/>
    <n v="2306.9"/>
    <n v="201"/>
    <n v="187.3"/>
    <n v="179.7"/>
    <n v="186.2"/>
    <n v="553.20000000000005"/>
    <n v="175.6"/>
    <n v="175.6"/>
    <n v="182.8"/>
    <n v="175.2"/>
    <n v="185.7"/>
    <n v="164.8"/>
    <n v="171.2"/>
    <n v="177.1"/>
    <n v="185.2"/>
    <n v="175.7"/>
    <n v="872.09999999999991"/>
    <n v="179.1"/>
    <s v="2023 May"/>
  </r>
  <r>
    <x v="2"/>
    <x v="0"/>
    <s v="March"/>
    <n v="174.4"/>
    <n v="207.7"/>
    <n v="175.2"/>
    <n v="177.3"/>
    <n v="179.2"/>
    <n v="169.5"/>
    <n v="152.80000000000001"/>
    <n v="171.1"/>
    <n v="120"/>
    <n v="209.7"/>
    <n v="172.3"/>
    <n v="193"/>
    <n v="177"/>
    <n v="2279.1999999999998"/>
    <n v="199.5"/>
    <n v="186.1"/>
    <n v="178.7"/>
    <n v="185.1"/>
    <n v="549.9"/>
    <n v="173.5"/>
    <n v="173.5"/>
    <n v="181.9"/>
    <n v="174.2"/>
    <n v="184.4"/>
    <n v="164.2"/>
    <n v="170.3"/>
    <n v="175"/>
    <n v="181"/>
    <n v="174.1"/>
    <n v="863.80000000000007"/>
    <n v="177.2"/>
    <s v="2023 March"/>
  </r>
  <r>
    <x v="2"/>
    <x v="0"/>
    <s v="January"/>
    <n v="173.8"/>
    <n v="210.7"/>
    <n v="194.5"/>
    <n v="174.6"/>
    <n v="187.2"/>
    <n v="158.30000000000001"/>
    <n v="153.9"/>
    <n v="170.9"/>
    <n v="121.1"/>
    <n v="208.4"/>
    <n v="171.4"/>
    <n v="191.2"/>
    <n v="176.7"/>
    <n v="2292.6999999999998"/>
    <n v="198.2"/>
    <n v="184.9"/>
    <n v="177.6"/>
    <n v="183.8"/>
    <n v="546.29999999999995"/>
    <n v="172.1"/>
    <n v="172.1"/>
    <n v="182"/>
    <n v="172.9"/>
    <n v="182.3"/>
    <n v="163.6"/>
    <n v="169.5"/>
    <n v="174.3"/>
    <n v="178.6"/>
    <n v="172.8"/>
    <n v="857.40000000000009"/>
    <n v="176.5"/>
    <s v="2023 January"/>
  </r>
  <r>
    <x v="2"/>
    <x v="0"/>
    <s v="February"/>
    <n v="174.4"/>
    <n v="207.7"/>
    <n v="175.2"/>
    <n v="177.3"/>
    <n v="179.3"/>
    <n v="169.5"/>
    <n v="152.69999999999999"/>
    <n v="171"/>
    <n v="120"/>
    <n v="209.7"/>
    <n v="172.3"/>
    <n v="193"/>
    <n v="177"/>
    <n v="2279.1"/>
    <n v="199.5"/>
    <n v="186.2"/>
    <n v="178.7"/>
    <n v="185.1"/>
    <n v="550"/>
    <n v="173.5"/>
    <n v="173.5"/>
    <n v="182.1"/>
    <n v="174.2"/>
    <n v="184.4"/>
    <n v="164.2"/>
    <n v="170.3"/>
    <n v="175"/>
    <n v="181"/>
    <n v="174.1"/>
    <n v="863.80000000000007"/>
    <n v="177.2"/>
    <s v="2023 February"/>
  </r>
  <r>
    <x v="2"/>
    <x v="0"/>
    <s v="April"/>
    <n v="173.8"/>
    <n v="209.3"/>
    <n v="169.6"/>
    <n v="178.4"/>
    <n v="174.9"/>
    <n v="176.3"/>
    <n v="155.4"/>
    <n v="173.4"/>
    <n v="121.3"/>
    <n v="212.9"/>
    <n v="172.9"/>
    <n v="193.5"/>
    <n v="177.9"/>
    <n v="2289.6000000000004"/>
    <n v="200.6"/>
    <n v="186.9"/>
    <n v="179.2"/>
    <n v="185.7"/>
    <n v="551.79999999999995"/>
    <n v="175.2"/>
    <n v="175.2"/>
    <n v="181.7"/>
    <n v="174.6"/>
    <n v="185"/>
    <n v="164.5"/>
    <n v="170.7"/>
    <n v="176.4"/>
    <n v="184"/>
    <n v="175"/>
    <n v="868.8"/>
    <n v="178.1"/>
    <s v="2023 April"/>
  </r>
  <r>
    <x v="0"/>
    <x v="1"/>
    <s v="September"/>
    <n v="162.9"/>
    <n v="206.7"/>
    <n v="169"/>
    <n v="169.5"/>
    <n v="194.1"/>
    <n v="164.1"/>
    <n v="176.9"/>
    <n v="169"/>
    <n v="120.8"/>
    <n v="199.1"/>
    <n v="175.4"/>
    <n v="184.8"/>
    <n v="175.5"/>
    <n v="2267.8000000000002"/>
    <n v="194.5"/>
    <n v="184.7"/>
    <n v="183.3"/>
    <n v="184.5"/>
    <n v="552.5"/>
    <s v="NA"/>
    <n v="168"/>
    <n v="179.7"/>
    <n v="173.6"/>
    <n v="180.2"/>
    <n v="166.9"/>
    <n v="170"/>
    <n v="176.2"/>
    <n v="170.8"/>
    <n v="173.1"/>
    <n v="854.4"/>
    <n v="176.4"/>
    <s v="2022 September"/>
  </r>
  <r>
    <x v="1"/>
    <x v="1"/>
    <s v="September"/>
    <n v="164.9"/>
    <n v="213.7"/>
    <n v="170.9"/>
    <n v="170.1"/>
    <n v="179.3"/>
    <n v="167.5"/>
    <n v="220.8"/>
    <n v="169.2"/>
    <n v="123.1"/>
    <n v="193.6"/>
    <n v="161.1"/>
    <n v="190.4"/>
    <n v="181.8"/>
    <n v="2306.4"/>
    <n v="199.7"/>
    <n v="175"/>
    <n v="161.69999999999999"/>
    <n v="173"/>
    <n v="509.7"/>
    <n v="169.5"/>
    <n v="169.5"/>
    <n v="179.2"/>
    <n v="165"/>
    <n v="173.8"/>
    <n v="158.19999999999999"/>
    <n v="165.8"/>
    <n v="170.9"/>
    <n v="171.1"/>
    <n v="166.1"/>
    <n v="826.2"/>
    <n v="174.1"/>
    <s v="2022 September"/>
  </r>
  <r>
    <x v="0"/>
    <x v="1"/>
    <s v="October"/>
    <n v="164.7"/>
    <n v="208.8"/>
    <n v="170.3"/>
    <n v="170.9"/>
    <n v="191.6"/>
    <n v="162.19999999999999"/>
    <n v="184.8"/>
    <n v="169.7"/>
    <n v="121.1"/>
    <n v="201.6"/>
    <n v="175.8"/>
    <n v="185.6"/>
    <n v="177.4"/>
    <n v="2284.5"/>
    <n v="194.9"/>
    <n v="186.1"/>
    <n v="184.4"/>
    <n v="185.9"/>
    <n v="556.4"/>
    <s v="NA"/>
    <n v="168"/>
    <n v="180.8"/>
    <n v="174.4"/>
    <n v="181.2"/>
    <n v="167.4"/>
    <n v="170.6"/>
    <n v="176.5"/>
    <n v="172"/>
    <n v="173.9"/>
    <n v="858.3"/>
    <n v="177.9"/>
    <s v="2022 October"/>
  </r>
  <r>
    <x v="1"/>
    <x v="1"/>
    <s v="October"/>
    <n v="166.4"/>
    <n v="214.9"/>
    <n v="171.9"/>
    <n v="171"/>
    <n v="177.7"/>
    <n v="165.7"/>
    <n v="228.6"/>
    <n v="169.9"/>
    <n v="123.4"/>
    <n v="196.4"/>
    <n v="161.6"/>
    <n v="191.5"/>
    <n v="183.3"/>
    <n v="2322.3000000000002"/>
    <n v="200.1"/>
    <n v="175.5"/>
    <n v="162.6"/>
    <n v="173.6"/>
    <n v="511.70000000000005"/>
    <n v="171.2"/>
    <n v="171.2"/>
    <n v="180"/>
    <n v="166"/>
    <n v="174.7"/>
    <n v="158.80000000000001"/>
    <n v="166.3"/>
    <n v="171.2"/>
    <n v="172.3"/>
    <n v="166.8"/>
    <n v="830.2"/>
    <n v="175.3"/>
    <s v="2022 October"/>
  </r>
  <r>
    <x v="0"/>
    <x v="1"/>
    <s v="November"/>
    <n v="166.9"/>
    <n v="207.2"/>
    <n v="180.2"/>
    <n v="172.3"/>
    <n v="194"/>
    <n v="159.1"/>
    <n v="171.6"/>
    <n v="170.2"/>
    <n v="121.5"/>
    <n v="204.8"/>
    <n v="176.4"/>
    <n v="186.9"/>
    <n v="176.6"/>
    <n v="2287.6999999999998"/>
    <n v="195.5"/>
    <n v="187.2"/>
    <n v="185.2"/>
    <n v="186.9"/>
    <n v="559.29999999999995"/>
    <s v="NA"/>
    <n v="168"/>
    <n v="181.9"/>
    <n v="175.5"/>
    <n v="182.3"/>
    <n v="167.5"/>
    <n v="170.8"/>
    <n v="176.9"/>
    <n v="173.4"/>
    <n v="174.6"/>
    <n v="861.8"/>
    <n v="177.8"/>
    <s v="2022 November"/>
  </r>
  <r>
    <x v="1"/>
    <x v="1"/>
    <s v="November"/>
    <n v="168.4"/>
    <n v="213.4"/>
    <n v="183.2"/>
    <n v="172.3"/>
    <n v="180"/>
    <n v="162.6"/>
    <n v="205.5"/>
    <n v="171"/>
    <n v="123.4"/>
    <n v="198.8"/>
    <n v="162.1"/>
    <n v="192.4"/>
    <n v="181.3"/>
    <n v="2314.4"/>
    <n v="200.6"/>
    <n v="176.7"/>
    <n v="163.5"/>
    <n v="174.7"/>
    <n v="514.9"/>
    <n v="171.8"/>
    <n v="171.8"/>
    <n v="180.3"/>
    <n v="166.9"/>
    <n v="175.8"/>
    <n v="158.9"/>
    <n v="166.7"/>
    <n v="171.5"/>
    <n v="173.8"/>
    <n v="167.4"/>
    <n v="833.69999999999993"/>
    <n v="174.1"/>
    <s v="2022 November"/>
  </r>
  <r>
    <x v="0"/>
    <x v="1"/>
    <s v="May"/>
    <n v="152.9"/>
    <n v="214.7"/>
    <n v="161.4"/>
    <n v="164.6"/>
    <n v="209.9"/>
    <n v="168"/>
    <n v="160.4"/>
    <n v="165"/>
    <n v="118.9"/>
    <n v="186.6"/>
    <n v="173.2"/>
    <n v="180.4"/>
    <n v="170.8"/>
    <n v="2226.8000000000002"/>
    <n v="192.9"/>
    <n v="179.3"/>
    <n v="177.2"/>
    <n v="179"/>
    <n v="535.5"/>
    <s v="NA"/>
    <n v="168"/>
    <n v="175.3"/>
    <n v="168.9"/>
    <n v="177.7"/>
    <n v="167.1"/>
    <n v="167.6"/>
    <n v="171.8"/>
    <n v="168.5"/>
    <n v="170.9"/>
    <n v="843"/>
    <n v="172.5"/>
    <s v="2022 May"/>
  </r>
  <r>
    <x v="1"/>
    <x v="1"/>
    <s v="May"/>
    <n v="156.69999999999999"/>
    <n v="221.2"/>
    <n v="164.1"/>
    <n v="165.4"/>
    <n v="189.5"/>
    <n v="174.5"/>
    <n v="203.2"/>
    <n v="164.1"/>
    <n v="121.2"/>
    <n v="181.4"/>
    <n v="158.5"/>
    <n v="184.9"/>
    <n v="177.5"/>
    <n v="2262.2000000000003"/>
    <n v="197.5"/>
    <n v="170"/>
    <n v="155.9"/>
    <n v="167.8"/>
    <n v="493.7"/>
    <n v="167.5"/>
    <n v="167.5"/>
    <n v="173.5"/>
    <n v="161.1"/>
    <n v="170.1"/>
    <n v="159.4"/>
    <n v="163.19999999999999"/>
    <n v="165.2"/>
    <n v="168.2"/>
    <n v="163.80000000000001"/>
    <n v="815.7"/>
    <n v="170.8"/>
    <s v="2022 May"/>
  </r>
  <r>
    <x v="0"/>
    <x v="1"/>
    <s v="March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2179.1000000000004"/>
    <n v="192.3"/>
    <n v="175.4"/>
    <n v="173.2"/>
    <n v="175.1"/>
    <n v="523.70000000000005"/>
    <s v="NA"/>
    <n v="168"/>
    <n v="168.9"/>
    <n v="166.5"/>
    <n v="176"/>
    <n v="162"/>
    <n v="166.6"/>
    <n v="170.6"/>
    <n v="167.4"/>
    <n v="168.3"/>
    <n v="830.8"/>
    <n v="168.7"/>
    <s v="2022 March"/>
  </r>
  <r>
    <x v="1"/>
    <x v="1"/>
    <s v="March"/>
    <n v="153.69999999999999"/>
    <n v="215.8"/>
    <n v="167.7"/>
    <n v="162.6"/>
    <n v="180"/>
    <n v="159.6"/>
    <n v="188.4"/>
    <n v="163.4"/>
    <n v="120.3"/>
    <n v="174.7"/>
    <n v="157.1"/>
    <n v="181.5"/>
    <n v="171.5"/>
    <n v="2196.3000000000002"/>
    <n v="197.5"/>
    <n v="167.1"/>
    <n v="152.6"/>
    <n v="164.9"/>
    <n v="484.6"/>
    <n v="165.3"/>
    <n v="165.3"/>
    <n v="164.5"/>
    <n v="158.6"/>
    <n v="168.2"/>
    <n v="154.19999999999999"/>
    <n v="160.80000000000001"/>
    <n v="162.69999999999999"/>
    <n v="166.8"/>
    <n v="160.6"/>
    <n v="801"/>
    <n v="166.5"/>
    <s v="2022 March"/>
  </r>
  <r>
    <x v="0"/>
    <x v="1"/>
    <s v="June"/>
    <n v="153.80000000000001"/>
    <n v="217.2"/>
    <n v="169.6"/>
    <n v="165.4"/>
    <n v="208.1"/>
    <n v="165.8"/>
    <n v="167.3"/>
    <n v="164.6"/>
    <n v="119.1"/>
    <n v="188.9"/>
    <n v="174.2"/>
    <n v="181.9"/>
    <n v="172.4"/>
    <n v="2248.3000000000002"/>
    <n v="192.9"/>
    <n v="180.7"/>
    <n v="178.7"/>
    <n v="180.4"/>
    <n v="539.79999999999995"/>
    <s v="NA"/>
    <n v="168"/>
    <n v="176.7"/>
    <n v="170.3"/>
    <n v="178.2"/>
    <n v="165.5"/>
    <n v="168"/>
    <n v="172.6"/>
    <n v="169.5"/>
    <n v="171"/>
    <n v="844.3"/>
    <n v="173.6"/>
    <s v="2022 June"/>
  </r>
  <r>
    <x v="1"/>
    <x v="1"/>
    <s v="June"/>
    <n v="157.5"/>
    <n v="223.4"/>
    <n v="172.8"/>
    <n v="166.4"/>
    <n v="188.6"/>
    <n v="174.1"/>
    <n v="211.5"/>
    <n v="163.6"/>
    <n v="121.4"/>
    <n v="183.5"/>
    <n v="159.1"/>
    <n v="186.3"/>
    <n v="179.3"/>
    <n v="2287.5"/>
    <n v="198.3"/>
    <n v="171.6"/>
    <n v="157.4"/>
    <n v="169.4"/>
    <n v="498.4"/>
    <n v="166.8"/>
    <n v="166.8"/>
    <n v="174.9"/>
    <n v="162.1"/>
    <n v="170.9"/>
    <n v="157.19999999999999"/>
    <n v="164.1"/>
    <n v="166.5"/>
    <n v="169.2"/>
    <n v="163.80000000000001"/>
    <n v="816.39999999999986"/>
    <n v="171.4"/>
    <s v="2022 June"/>
  </r>
  <r>
    <x v="0"/>
    <x v="1"/>
    <s v="July"/>
    <n v="155.19999999999999"/>
    <n v="210.8"/>
    <n v="174.3"/>
    <n v="166.3"/>
    <n v="202.2"/>
    <n v="169.6"/>
    <n v="168.6"/>
    <n v="164.4"/>
    <n v="119.2"/>
    <n v="191.8"/>
    <n v="174.5"/>
    <n v="183.1"/>
    <n v="172.5"/>
    <n v="2252.5"/>
    <n v="193.2"/>
    <n v="182"/>
    <n v="180.3"/>
    <n v="181.7"/>
    <n v="544"/>
    <s v="NA"/>
    <n v="168"/>
    <n v="179.6"/>
    <n v="171.3"/>
    <n v="178.8"/>
    <n v="166.3"/>
    <n v="168.6"/>
    <n v="174.7"/>
    <n v="169.7"/>
    <n v="171.8"/>
    <n v="847.7"/>
    <n v="174.3"/>
    <s v="2022 July"/>
  </r>
  <r>
    <x v="1"/>
    <x v="1"/>
    <s v="July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2291.6"/>
    <n v="198.6"/>
    <n v="172.7"/>
    <n v="158.69999999999999"/>
    <n v="170.6"/>
    <n v="502"/>
    <n v="167.8"/>
    <n v="167.8"/>
    <n v="179.5"/>
    <n v="163.1"/>
    <n v="171.7"/>
    <n v="157.4"/>
    <n v="164.6"/>
    <n v="169.1"/>
    <n v="169.8"/>
    <n v="164.7"/>
    <n v="819.60000000000014"/>
    <n v="172.3"/>
    <s v="2022 July"/>
  </r>
  <r>
    <x v="0"/>
    <x v="1"/>
    <s v="January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2153"/>
    <n v="190.7"/>
    <n v="173.2"/>
    <n v="169.3"/>
    <n v="172.7"/>
    <n v="515.20000000000005"/>
    <s v="NA"/>
    <n v="168"/>
    <n v="165.8"/>
    <n v="164.9"/>
    <n v="174.7"/>
    <n v="160.80000000000001"/>
    <n v="164.9"/>
    <n v="169.9"/>
    <n v="163.19999999999999"/>
    <n v="166.6"/>
    <n v="820.4"/>
    <n v="166.4"/>
    <s v="2022 January"/>
  </r>
  <r>
    <x v="1"/>
    <x v="1"/>
    <s v="January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2186.6999999999998"/>
    <n v="196.4"/>
    <n v="164.7"/>
    <n v="148.5"/>
    <n v="162.19999999999999"/>
    <n v="475.4"/>
    <n v="164.5"/>
    <n v="164.5"/>
    <n v="161.6"/>
    <n v="156.80000000000001"/>
    <n v="166.1"/>
    <n v="152.69999999999999"/>
    <n v="158.4"/>
    <n v="161"/>
    <n v="162.80000000000001"/>
    <n v="158.6"/>
    <n v="789.30000000000007"/>
    <n v="165"/>
    <s v="2022 January"/>
  </r>
  <r>
    <x v="0"/>
    <x v="1"/>
    <s v="February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2150.4"/>
    <n v="191.5"/>
    <n v="174.1"/>
    <n v="171"/>
    <n v="173.7"/>
    <n v="518.79999999999995"/>
    <s v="NA"/>
    <n v="168"/>
    <n v="167.4"/>
    <n v="165.7"/>
    <n v="175.3"/>
    <n v="161.19999999999999"/>
    <n v="165.5"/>
    <n v="170.3"/>
    <n v="164.5"/>
    <n v="167.3"/>
    <n v="824.2"/>
    <n v="166.7"/>
    <s v="2022 February"/>
  </r>
  <r>
    <x v="1"/>
    <x v="1"/>
    <s v="February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2183.5"/>
    <n v="196.5"/>
    <n v="165.7"/>
    <n v="150.4"/>
    <n v="163.4"/>
    <n v="479.5"/>
    <n v="165.5"/>
    <n v="165.5"/>
    <n v="163"/>
    <n v="157.4"/>
    <n v="167.2"/>
    <n v="153.1"/>
    <n v="159.5"/>
    <n v="162"/>
    <n v="164.2"/>
    <n v="159.4"/>
    <n v="793.6"/>
    <n v="165.5"/>
    <s v="2022 February"/>
  </r>
  <r>
    <x v="0"/>
    <x v="1"/>
    <s v="December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2277.1"/>
    <n v="195.9"/>
    <n v="188.1"/>
    <n v="185.9"/>
    <n v="187.8"/>
    <n v="561.79999999999995"/>
    <s v="NA"/>
    <n v="168"/>
    <n v="182.8"/>
    <n v="176.4"/>
    <n v="183.5"/>
    <n v="167.8"/>
    <n v="171.2"/>
    <n v="177.3"/>
    <n v="175.7"/>
    <n v="175.5"/>
    <n v="866.60000000000014"/>
    <n v="177.1"/>
    <s v="2022 December"/>
  </r>
  <r>
    <x v="1"/>
    <x v="1"/>
    <s v="December"/>
    <n v="170.2"/>
    <n v="212.9"/>
    <n v="191.9"/>
    <n v="173.9"/>
    <n v="179.1"/>
    <n v="159.5"/>
    <n v="178.7"/>
    <n v="171.3"/>
    <n v="123.1"/>
    <n v="200.5"/>
    <n v="162.80000000000001"/>
    <n v="193.3"/>
    <n v="178.6"/>
    <n v="2295.7999999999997"/>
    <n v="201.1"/>
    <n v="177.7"/>
    <n v="164.5"/>
    <n v="175.7"/>
    <n v="517.9"/>
    <n v="170.7"/>
    <n v="170.7"/>
    <n v="180.6"/>
    <n v="167.3"/>
    <n v="177.2"/>
    <n v="159.4"/>
    <n v="167.1"/>
    <n v="171.8"/>
    <n v="176"/>
    <n v="168.2"/>
    <n v="838"/>
    <n v="174.1"/>
    <s v="2022 December"/>
  </r>
  <r>
    <x v="0"/>
    <x v="1"/>
    <s v="August"/>
    <n v="159.5"/>
    <n v="204.1"/>
    <n v="168.3"/>
    <n v="167.9"/>
    <n v="198.1"/>
    <n v="169.2"/>
    <n v="173.1"/>
    <n v="167.1"/>
    <n v="120.2"/>
    <n v="195.6"/>
    <n v="174.8"/>
    <n v="184"/>
    <n v="173.9"/>
    <n v="2255.7999999999997"/>
    <n v="193.7"/>
    <n v="183.2"/>
    <n v="181.7"/>
    <n v="183"/>
    <n v="547.9"/>
    <s v="NA"/>
    <n v="168"/>
    <n v="179.1"/>
    <n v="172.3"/>
    <n v="179.4"/>
    <n v="166.6"/>
    <n v="169.3"/>
    <n v="175.7"/>
    <n v="171.1"/>
    <n v="172.6"/>
    <n v="851.9"/>
    <n v="175.3"/>
    <s v="2022 August"/>
  </r>
  <r>
    <x v="1"/>
    <x v="1"/>
    <s v="August"/>
    <n v="162.1"/>
    <n v="210.9"/>
    <n v="170.6"/>
    <n v="168.4"/>
    <n v="182.5"/>
    <n v="177.1"/>
    <n v="213.1"/>
    <n v="167.3"/>
    <n v="122.2"/>
    <n v="189.7"/>
    <n v="160.5"/>
    <n v="188.9"/>
    <n v="180.4"/>
    <n v="2293.6999999999998"/>
    <n v="198.7"/>
    <n v="173.7"/>
    <n v="160"/>
    <n v="171.6"/>
    <n v="505.29999999999995"/>
    <n v="169"/>
    <n v="169"/>
    <n v="178.4"/>
    <n v="164.2"/>
    <n v="172.6"/>
    <n v="157.69999999999999"/>
    <n v="165.1"/>
    <n v="169.9"/>
    <n v="171.4"/>
    <n v="165.4"/>
    <n v="823.8"/>
    <n v="173.1"/>
    <s v="2022 August"/>
  </r>
  <r>
    <x v="0"/>
    <x v="1"/>
    <s v="April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2206.6"/>
    <n v="192.8"/>
    <n v="177.5"/>
    <n v="175.1"/>
    <n v="177.1"/>
    <n v="529.70000000000005"/>
    <s v="NA"/>
    <n v="168"/>
    <n v="173.3"/>
    <n v="167.7"/>
    <n v="177"/>
    <n v="166.2"/>
    <n v="167.2"/>
    <n v="170.9"/>
    <n v="169"/>
    <n v="170.2"/>
    <n v="840.3"/>
    <n v="170.8"/>
    <s v="2022 April"/>
  </r>
  <r>
    <x v="1"/>
    <x v="1"/>
    <s v="April"/>
    <n v="155.4"/>
    <n v="215.8"/>
    <n v="164.6"/>
    <n v="164.2"/>
    <n v="186"/>
    <n v="175.9"/>
    <n v="190.7"/>
    <n v="164"/>
    <n v="120.5"/>
    <n v="178"/>
    <n v="157.5"/>
    <n v="183.3"/>
    <n v="174.5"/>
    <n v="2230.4"/>
    <n v="197.1"/>
    <n v="168.4"/>
    <n v="154.5"/>
    <n v="166.3"/>
    <n v="489.2"/>
    <n v="167"/>
    <n v="167"/>
    <n v="170.5"/>
    <n v="159.80000000000001"/>
    <n v="169"/>
    <n v="159.30000000000001"/>
    <n v="162.19999999999999"/>
    <n v="164"/>
    <n v="168.4"/>
    <n v="163.1"/>
    <n v="812.80000000000007"/>
    <n v="169.2"/>
    <s v="2022 April"/>
  </r>
  <r>
    <x v="2"/>
    <x v="1"/>
    <s v="September"/>
    <n v="163.5"/>
    <n v="209.2"/>
    <n v="169.7"/>
    <n v="169.7"/>
    <n v="188.7"/>
    <n v="165.7"/>
    <n v="191.8"/>
    <n v="169.1"/>
    <n v="121.6"/>
    <n v="197.3"/>
    <n v="169.4"/>
    <n v="187.4"/>
    <n v="177.8"/>
    <n v="2280.9"/>
    <n v="195.9"/>
    <n v="180.9"/>
    <n v="174.3"/>
    <n v="179.9"/>
    <n v="535.1"/>
    <n v="169.5"/>
    <n v="169.5"/>
    <n v="179.5"/>
    <n v="169.5"/>
    <n v="177.8"/>
    <n v="162.30000000000001"/>
    <n v="167.6"/>
    <n v="173.1"/>
    <n v="170.9"/>
    <n v="169.7"/>
    <n v="840"/>
    <n v="175.3"/>
    <s v="2022 September"/>
  </r>
  <r>
    <x v="2"/>
    <x v="1"/>
    <s v="October"/>
    <n v="165.2"/>
    <n v="210.9"/>
    <n v="170.9"/>
    <n v="170.9"/>
    <n v="186.5"/>
    <n v="163.80000000000001"/>
    <n v="199.7"/>
    <n v="169.8"/>
    <n v="121.9"/>
    <n v="199.9"/>
    <n v="169.9"/>
    <n v="188.3"/>
    <n v="179.6"/>
    <n v="2297.3000000000002"/>
    <n v="196.3"/>
    <n v="181.9"/>
    <n v="175.3"/>
    <n v="181"/>
    <n v="538.20000000000005"/>
    <n v="171.2"/>
    <n v="171.2"/>
    <n v="180.5"/>
    <n v="170.4"/>
    <n v="178.7"/>
    <n v="162.9"/>
    <n v="168.2"/>
    <n v="173.4"/>
    <n v="172.1"/>
    <n v="170.5"/>
    <n v="844.1"/>
    <n v="176.7"/>
    <s v="2022 October"/>
  </r>
  <r>
    <x v="2"/>
    <x v="1"/>
    <s v="November"/>
    <n v="167.4"/>
    <n v="209.4"/>
    <n v="181.4"/>
    <n v="172.3"/>
    <n v="188.9"/>
    <n v="160.69999999999999"/>
    <n v="183.1"/>
    <n v="170.5"/>
    <n v="122.1"/>
    <n v="202.8"/>
    <n v="170.4"/>
    <n v="189.5"/>
    <n v="178.3"/>
    <n v="2296.8000000000002"/>
    <n v="196.9"/>
    <n v="183.1"/>
    <n v="176.2"/>
    <n v="182.1"/>
    <n v="541.4"/>
    <n v="171.8"/>
    <n v="171.8"/>
    <n v="181.3"/>
    <n v="171.4"/>
    <n v="179.8"/>
    <n v="163"/>
    <n v="168.5"/>
    <n v="173.7"/>
    <n v="173.6"/>
    <n v="171.1"/>
    <n v="847.6"/>
    <n v="176.5"/>
    <s v="2022 November"/>
  </r>
  <r>
    <x v="2"/>
    <x v="1"/>
    <s v="May"/>
    <n v="154.1"/>
    <n v="217"/>
    <n v="162.4"/>
    <n v="164.9"/>
    <n v="202.4"/>
    <n v="171"/>
    <n v="174.9"/>
    <n v="164.7"/>
    <n v="119.7"/>
    <n v="184.9"/>
    <n v="167.1"/>
    <n v="182.5"/>
    <n v="173.3"/>
    <n v="2238.9000000000005"/>
    <n v="194.1"/>
    <n v="175.6"/>
    <n v="168.4"/>
    <n v="174.6"/>
    <n v="518.6"/>
    <n v="167.5"/>
    <n v="167.5"/>
    <n v="174.6"/>
    <n v="165.2"/>
    <n v="174.8"/>
    <n v="163"/>
    <n v="165.1"/>
    <n v="167.9"/>
    <n v="168.4"/>
    <n v="167.5"/>
    <n v="829.19999999999993"/>
    <n v="171.7"/>
    <s v="2022 May"/>
  </r>
  <r>
    <x v="2"/>
    <x v="1"/>
    <s v="March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2184.2000000000003"/>
    <n v="193.7"/>
    <n v="172.1"/>
    <n v="164.6"/>
    <n v="171.1"/>
    <n v="507.79999999999995"/>
    <n v="165.3"/>
    <n v="165.3"/>
    <n v="167.2"/>
    <n v="162.80000000000001"/>
    <n v="173"/>
    <n v="157.9"/>
    <n v="163.30000000000001"/>
    <n v="166"/>
    <n v="167.2"/>
    <n v="164.6"/>
    <n v="815.80000000000007"/>
    <n v="167.7"/>
    <s v="2022 March"/>
  </r>
  <r>
    <x v="2"/>
    <x v="1"/>
    <s v="June"/>
    <n v="155"/>
    <n v="219.4"/>
    <n v="170.8"/>
    <n v="165.8"/>
    <n v="200.9"/>
    <n v="169.7"/>
    <n v="182.3"/>
    <n v="164.3"/>
    <n v="119.9"/>
    <n v="187.1"/>
    <n v="167.9"/>
    <n v="183.9"/>
    <n v="174.9"/>
    <n v="2261.9"/>
    <n v="194.3"/>
    <n v="177.1"/>
    <n v="169.9"/>
    <n v="176"/>
    <n v="523"/>
    <n v="166.8"/>
    <n v="166.8"/>
    <n v="176"/>
    <n v="166.4"/>
    <n v="175.4"/>
    <n v="161.1"/>
    <n v="165.8"/>
    <n v="169"/>
    <n v="169.4"/>
    <n v="167.5"/>
    <n v="830.2"/>
    <n v="172.6"/>
    <s v="2022 June"/>
  </r>
  <r>
    <x v="2"/>
    <x v="1"/>
    <s v="July"/>
    <n v="156.5"/>
    <n v="213"/>
    <n v="175.2"/>
    <n v="166.6"/>
    <n v="195.8"/>
    <n v="174.2"/>
    <n v="182.1"/>
    <n v="164.3"/>
    <n v="120"/>
    <n v="190"/>
    <n v="168.4"/>
    <n v="185.2"/>
    <n v="175"/>
    <n v="2266.3000000000002"/>
    <n v="194.6"/>
    <n v="178.3"/>
    <n v="171.3"/>
    <n v="177.3"/>
    <n v="526.90000000000009"/>
    <n v="167.8"/>
    <n v="167.8"/>
    <n v="179.6"/>
    <n v="167.4"/>
    <n v="176.1"/>
    <n v="161.6"/>
    <n v="166.3"/>
    <n v="171.4"/>
    <n v="169.7"/>
    <n v="168.4"/>
    <n v="833.4"/>
    <n v="173.4"/>
    <s v="2022 July"/>
  </r>
  <r>
    <x v="2"/>
    <x v="1"/>
    <s v="January"/>
    <n v="149.5"/>
    <n v="198.7"/>
    <n v="178.8"/>
    <n v="160.5"/>
    <n v="184.7"/>
    <n v="153.69999999999999"/>
    <n v="174.3"/>
    <n v="163.9"/>
    <n v="120"/>
    <n v="172.1"/>
    <n v="164.3"/>
    <n v="177.3"/>
    <n v="166.4"/>
    <n v="2164.1999999999998"/>
    <n v="192.2"/>
    <n v="169.9"/>
    <n v="160.69999999999999"/>
    <n v="168.5"/>
    <n v="499.1"/>
    <n v="164.5"/>
    <n v="164.5"/>
    <n v="164.2"/>
    <n v="161.1"/>
    <n v="171.4"/>
    <n v="156.5"/>
    <n v="161.19999999999999"/>
    <n v="164.7"/>
    <n v="163"/>
    <n v="162.69999999999999"/>
    <n v="804.5"/>
    <n v="165.7"/>
    <s v="2022 January"/>
  </r>
  <r>
    <x v="2"/>
    <x v="1"/>
    <s v="February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2161.2000000000003"/>
    <n v="192.8"/>
    <n v="170.8"/>
    <n v="162.4"/>
    <n v="169.6"/>
    <n v="502.80000000000007"/>
    <n v="165.5"/>
    <n v="165.5"/>
    <n v="165.7"/>
    <n v="161.80000000000001"/>
    <n v="172.2"/>
    <n v="156.9"/>
    <n v="162.1"/>
    <n v="165.4"/>
    <n v="164.4"/>
    <n v="163.5"/>
    <n v="808.7"/>
    <n v="166.1"/>
    <s v="2022 February"/>
  </r>
  <r>
    <x v="2"/>
    <x v="1"/>
    <s v="December"/>
    <n v="169.2"/>
    <n v="209"/>
    <n v="190.2"/>
    <n v="173.6"/>
    <n v="188.5"/>
    <n v="158"/>
    <n v="159.9"/>
    <n v="170.8"/>
    <n v="121.8"/>
    <n v="205.2"/>
    <n v="171"/>
    <n v="190.3"/>
    <n v="175.9"/>
    <n v="2283.4"/>
    <n v="197.3"/>
    <n v="184"/>
    <n v="177"/>
    <n v="183"/>
    <n v="544"/>
    <n v="170.7"/>
    <n v="170.7"/>
    <n v="182"/>
    <n v="172.1"/>
    <n v="181.1"/>
    <n v="163.4"/>
    <n v="168.9"/>
    <n v="174.1"/>
    <n v="175.8"/>
    <n v="172"/>
    <n v="852.2"/>
    <n v="175.7"/>
    <s v="2022 December"/>
  </r>
  <r>
    <x v="2"/>
    <x v="1"/>
    <s v="August"/>
    <n v="160.30000000000001"/>
    <n v="206.5"/>
    <n v="169.2"/>
    <n v="168.1"/>
    <n v="192.4"/>
    <n v="172.9"/>
    <n v="186.7"/>
    <n v="167.2"/>
    <n v="120.9"/>
    <n v="193.6"/>
    <n v="168.8"/>
    <n v="186.3"/>
    <n v="176.3"/>
    <n v="2269.2000000000003"/>
    <n v="195"/>
    <n v="179.5"/>
    <n v="172.7"/>
    <n v="178.5"/>
    <n v="530.70000000000005"/>
    <n v="169"/>
    <n v="169"/>
    <n v="178.8"/>
    <n v="168.5"/>
    <n v="176.8"/>
    <n v="161.9"/>
    <n v="166.9"/>
    <n v="172.3"/>
    <n v="171.2"/>
    <n v="169.1"/>
    <n v="837.6"/>
    <n v="174.3"/>
    <s v="2022 August"/>
  </r>
  <r>
    <x v="2"/>
    <x v="1"/>
    <s v="April"/>
    <n v="152.9"/>
    <n v="211.8"/>
    <n v="164.5"/>
    <n v="163.9"/>
    <n v="199.5"/>
    <n v="172.6"/>
    <n v="166.2"/>
    <n v="164.7"/>
    <n v="119"/>
    <n v="181.3"/>
    <n v="166.2"/>
    <n v="180.9"/>
    <n v="170.8"/>
    <n v="2214.3000000000002"/>
    <n v="193.9"/>
    <n v="173.9"/>
    <n v="166.5"/>
    <n v="172.8"/>
    <n v="513.20000000000005"/>
    <n v="167"/>
    <n v="167"/>
    <n v="172.2"/>
    <n v="164"/>
    <n v="174"/>
    <n v="162.6"/>
    <n v="164.4"/>
    <n v="166.9"/>
    <n v="168.8"/>
    <n v="166.8"/>
    <n v="826.59999999999991"/>
    <n v="170.1"/>
    <s v="2022 April"/>
  </r>
  <r>
    <x v="0"/>
    <x v="2"/>
    <s v="September"/>
    <n v="145.4"/>
    <n v="202.1"/>
    <n v="172"/>
    <n v="158"/>
    <n v="195.5"/>
    <n v="152.69999999999999"/>
    <n v="151.4"/>
    <n v="163.9"/>
    <n v="119.3"/>
    <n v="170.1"/>
    <n v="168.3"/>
    <n v="172.8"/>
    <n v="162.1"/>
    <n v="2133.6"/>
    <n v="190.5"/>
    <n v="167.7"/>
    <n v="163.6"/>
    <n v="167.1"/>
    <n v="498.4"/>
    <s v="NA"/>
    <n v="161.4"/>
    <n v="163.69999999999999"/>
    <n v="161.30000000000001"/>
    <n v="171.9"/>
    <n v="157.80000000000001"/>
    <n v="162.69999999999999"/>
    <n v="168.5"/>
    <n v="160.19999999999999"/>
    <n v="163.80000000000001"/>
    <n v="805.8"/>
    <n v="164"/>
    <s v="2021 September"/>
  </r>
  <r>
    <x v="1"/>
    <x v="2"/>
    <s v="September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2157.9"/>
    <n v="196.5"/>
    <n v="159.80000000000001"/>
    <n v="143.6"/>
    <n v="157.4"/>
    <n v="460.79999999999995"/>
    <n v="162.1"/>
    <n v="162.1"/>
    <n v="160.80000000000001"/>
    <n v="153.30000000000001"/>
    <n v="162.80000000000001"/>
    <n v="150.5"/>
    <n v="153.9"/>
    <n v="160.30000000000001"/>
    <n v="159.6"/>
    <n v="156"/>
    <n v="773.30000000000007"/>
    <n v="162.30000000000001"/>
    <s v="2021 September"/>
  </r>
  <r>
    <x v="0"/>
    <x v="2"/>
    <s v="October"/>
    <n v="146.1"/>
    <n v="202.5"/>
    <n v="170.1"/>
    <n v="158.4"/>
    <n v="198.8"/>
    <n v="152.6"/>
    <n v="170.4"/>
    <n v="165.2"/>
    <n v="121.6"/>
    <n v="170.6"/>
    <n v="168.8"/>
    <n v="173.6"/>
    <n v="165.5"/>
    <n v="2164.1999999999998"/>
    <n v="191.2"/>
    <n v="168.9"/>
    <n v="164.8"/>
    <n v="168.3"/>
    <n v="502.00000000000006"/>
    <s v="NA"/>
    <n v="161.4"/>
    <n v="165.5"/>
    <n v="162"/>
    <n v="172.5"/>
    <n v="159.5"/>
    <n v="163.19999999999999"/>
    <n v="169"/>
    <n v="161.1"/>
    <n v="164.7"/>
    <n v="810.5"/>
    <n v="166.3"/>
    <s v="2021 October"/>
  </r>
  <r>
    <x v="1"/>
    <x v="2"/>
    <s v="October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2198.4000000000005"/>
    <n v="197"/>
    <n v="160.80000000000001"/>
    <n v="144.4"/>
    <n v="158.30000000000001"/>
    <n v="463.50000000000006"/>
    <n v="163.6"/>
    <n v="163.6"/>
    <n v="162.19999999999999"/>
    <n v="154.30000000000001"/>
    <n v="163.5"/>
    <n v="152.19999999999999"/>
    <n v="155.1"/>
    <n v="160.30000000000001"/>
    <n v="160.30000000000001"/>
    <n v="157"/>
    <n v="778.90000000000009"/>
    <n v="164.6"/>
    <s v="2021 October"/>
  </r>
  <r>
    <x v="0"/>
    <x v="2"/>
    <s v="November"/>
    <n v="146.9"/>
    <n v="199.8"/>
    <n v="171.5"/>
    <n v="159.1"/>
    <n v="198.4"/>
    <n v="153.19999999999999"/>
    <n v="183.9"/>
    <n v="165.4"/>
    <n v="122.1"/>
    <n v="170.8"/>
    <n v="169.1"/>
    <n v="174.3"/>
    <n v="167.5"/>
    <n v="2182"/>
    <n v="191.4"/>
    <n v="170.4"/>
    <n v="166"/>
    <n v="169.8"/>
    <n v="506.2"/>
    <s v="NA"/>
    <n v="161.4"/>
    <n v="165.3"/>
    <n v="162.9"/>
    <n v="173.4"/>
    <n v="158.9"/>
    <n v="163.80000000000001"/>
    <n v="169.3"/>
    <n v="162.4"/>
    <n v="165.2"/>
    <n v="813.2"/>
    <n v="167.6"/>
    <s v="2021 November"/>
  </r>
  <r>
    <x v="1"/>
    <x v="2"/>
    <s v="November"/>
    <n v="151"/>
    <n v="204.9"/>
    <n v="175.4"/>
    <n v="159.6"/>
    <n v="175.8"/>
    <n v="160.30000000000001"/>
    <n v="229.1"/>
    <n v="165.1"/>
    <n v="123.1"/>
    <n v="167.2"/>
    <n v="156.1"/>
    <n v="176.8"/>
    <n v="173.5"/>
    <n v="2217.8999999999996"/>
    <n v="197"/>
    <n v="162.30000000000001"/>
    <n v="145.30000000000001"/>
    <n v="159.69999999999999"/>
    <n v="467.3"/>
    <n v="164.2"/>
    <n v="164.2"/>
    <n v="161.6"/>
    <n v="155.19999999999999"/>
    <n v="164.2"/>
    <n v="151.19999999999999"/>
    <n v="156.69999999999999"/>
    <n v="160.80000000000001"/>
    <n v="161.80000000000001"/>
    <n v="157.30000000000001"/>
    <n v="782.2"/>
    <n v="165.6"/>
    <s v="2021 November"/>
  </r>
  <r>
    <x v="0"/>
    <x v="2"/>
    <s v="May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2095.2999999999997"/>
    <n v="189.6"/>
    <n v="165.3"/>
    <n v="160.6"/>
    <n v="164.5"/>
    <n v="490.4"/>
    <s v="NA"/>
    <n v="161.4"/>
    <n v="161.69999999999999"/>
    <n v="158.80000000000001"/>
    <n v="169.1"/>
    <n v="153.19999999999999"/>
    <n v="160"/>
    <n v="167.6"/>
    <n v="159.30000000000001"/>
    <n v="161.1"/>
    <n v="792.4"/>
    <n v="161.1"/>
    <s v="2021 May"/>
  </r>
  <r>
    <x v="1"/>
    <x v="2"/>
    <s v="May"/>
    <n v="148.80000000000001"/>
    <n v="204.3"/>
    <n v="173"/>
    <n v="156.5"/>
    <n v="168.8"/>
    <n v="172.5"/>
    <n v="166.5"/>
    <n v="165.9"/>
    <n v="115.9"/>
    <n v="165.2"/>
    <n v="152"/>
    <n v="171.1"/>
    <n v="164.2"/>
    <n v="2124.7000000000003"/>
    <n v="198.2"/>
    <n v="156.5"/>
    <n v="140.19999999999999"/>
    <n v="154.1"/>
    <n v="450.79999999999995"/>
    <n v="161.6"/>
    <n v="161.6"/>
    <n v="155.5"/>
    <n v="150.1"/>
    <n v="160.4"/>
    <n v="145"/>
    <n v="152.6"/>
    <n v="156.6"/>
    <n v="157.5"/>
    <n v="152.30000000000001"/>
    <n v="757.5"/>
    <n v="159.5"/>
    <s v="2021 May"/>
  </r>
  <r>
    <x v="0"/>
    <x v="2"/>
    <s v="March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2025.7"/>
    <n v="186.1"/>
    <n v="159.6"/>
    <n v="154.4"/>
    <n v="158.9"/>
    <n v="472.9"/>
    <s v="-"/>
    <n v="161.4"/>
    <n v="156"/>
    <n v="154.80000000000001"/>
    <n v="164.6"/>
    <n v="151.30000000000001"/>
    <n v="157.80000000000001"/>
    <n v="163.80000000000001"/>
    <n v="153.1"/>
    <n v="157.30000000000001"/>
    <n v="774.3"/>
    <n v="156.69999999999999"/>
    <s v="2021 March"/>
  </r>
  <r>
    <x v="1"/>
    <x v="2"/>
    <s v="March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2064.4999999999995"/>
    <n v="193.5"/>
    <n v="155.1"/>
    <n v="138.69999999999999"/>
    <n v="152.6"/>
    <n v="446.4"/>
    <n v="159.9"/>
    <n v="159.9"/>
    <n v="154.80000000000001"/>
    <n v="147.19999999999999"/>
    <n v="156.9"/>
    <n v="141.69999999999999"/>
    <n v="148.6"/>
    <n v="157.6"/>
    <n v="154.9"/>
    <n v="150"/>
    <n v="742.4"/>
    <n v="156.9"/>
    <s v="2021 March"/>
  </r>
  <r>
    <x v="0"/>
    <x v="2"/>
    <s v="June"/>
    <n v="145.6"/>
    <n v="200.1"/>
    <n v="179.3"/>
    <n v="156.1"/>
    <n v="190.4"/>
    <n v="158.6"/>
    <n v="144.69999999999999"/>
    <n v="165.5"/>
    <n v="114.6"/>
    <n v="170"/>
    <n v="165.5"/>
    <n v="171.7"/>
    <n v="160.5"/>
    <n v="2122.6"/>
    <n v="189.1"/>
    <n v="165.3"/>
    <n v="159.9"/>
    <n v="164.6"/>
    <n v="489.80000000000007"/>
    <s v="NA"/>
    <n v="161.4"/>
    <n v="162.1"/>
    <n v="159.19999999999999"/>
    <n v="169.7"/>
    <n v="154.19999999999999"/>
    <n v="160.4"/>
    <n v="166.8"/>
    <n v="159.4"/>
    <n v="161.5"/>
    <n v="794.69999999999993"/>
    <n v="162.1"/>
    <s v="2021 June"/>
  </r>
  <r>
    <x v="1"/>
    <x v="2"/>
    <s v="June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2154.1999999999998"/>
    <n v="195.6"/>
    <n v="157.30000000000001"/>
    <n v="140.5"/>
    <n v="154.80000000000001"/>
    <n v="452.6"/>
    <n v="160.5"/>
    <n v="160.5"/>
    <n v="156.1"/>
    <n v="149.80000000000001"/>
    <n v="160.80000000000001"/>
    <n v="147.5"/>
    <n v="150.69999999999999"/>
    <n v="158.1"/>
    <n v="158"/>
    <n v="153.4"/>
    <n v="759.4"/>
    <n v="160.4"/>
    <s v="2021 June"/>
  </r>
  <r>
    <x v="0"/>
    <x v="2"/>
    <s v="July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2132.4"/>
    <n v="189.7"/>
    <n v="166"/>
    <n v="161.1"/>
    <n v="165.3"/>
    <n v="492.40000000000003"/>
    <s v="NA"/>
    <n v="161.4"/>
    <n v="162.5"/>
    <n v="160.30000000000001"/>
    <n v="170.4"/>
    <n v="157.1"/>
    <n v="160.69999999999999"/>
    <n v="167.2"/>
    <n v="160.4"/>
    <n v="162.80000000000001"/>
    <n v="801.3"/>
    <n v="163.19999999999999"/>
    <s v="2021 July"/>
  </r>
  <r>
    <x v="1"/>
    <x v="2"/>
    <s v="July"/>
    <n v="149.1"/>
    <n v="210.9"/>
    <n v="185"/>
    <n v="158.19999999999999"/>
    <n v="170.6"/>
    <n v="170.9"/>
    <n v="186.4"/>
    <n v="164.7"/>
    <n v="115.7"/>
    <n v="165.5"/>
    <n v="153.4"/>
    <n v="173.5"/>
    <n v="167.9"/>
    <n v="2171.8000000000002"/>
    <n v="195.5"/>
    <n v="157.9"/>
    <n v="141.9"/>
    <n v="155.5"/>
    <n v="455.3"/>
    <n v="161.5"/>
    <n v="161.5"/>
    <n v="157.69999999999999"/>
    <n v="150.69999999999999"/>
    <n v="161.5"/>
    <n v="149.5"/>
    <n v="151.19999999999999"/>
    <n v="160.30000000000001"/>
    <n v="159.6"/>
    <n v="155"/>
    <n v="766"/>
    <n v="161.80000000000001"/>
    <s v="2021 July"/>
  </r>
  <r>
    <x v="0"/>
    <x v="2"/>
    <s v="January"/>
    <n v="143.4"/>
    <n v="187.5"/>
    <n v="173.4"/>
    <n v="154"/>
    <n v="154.80000000000001"/>
    <n v="147"/>
    <n v="187.8"/>
    <n v="159.5"/>
    <n v="113.8"/>
    <n v="164.5"/>
    <n v="156.1"/>
    <n v="164.3"/>
    <n v="159.6"/>
    <n v="2065.6999999999998"/>
    <n v="184.6"/>
    <n v="157.5"/>
    <n v="152.4"/>
    <n v="156.80000000000001"/>
    <n v="466.7"/>
    <s v="NA"/>
    <n v="161.4"/>
    <n v="150.9"/>
    <n v="153.9"/>
    <n v="162.5"/>
    <n v="147.5"/>
    <n v="155.1"/>
    <n v="163.5"/>
    <n v="156.19999999999999"/>
    <n v="155.9"/>
    <n v="768.6"/>
    <n v="158.5"/>
    <s v="2021 January"/>
  </r>
  <r>
    <x v="1"/>
    <x v="2"/>
    <s v="January"/>
    <n v="148"/>
    <n v="194.8"/>
    <n v="178.4"/>
    <n v="154.4"/>
    <n v="144.1"/>
    <n v="152.6"/>
    <n v="206.8"/>
    <n v="162.1"/>
    <n v="116.3"/>
    <n v="163"/>
    <n v="145.9"/>
    <n v="167.2"/>
    <n v="163.4"/>
    <n v="2097"/>
    <n v="191.8"/>
    <n v="152.5"/>
    <n v="137.30000000000001"/>
    <n v="150.19999999999999"/>
    <n v="440"/>
    <n v="157.69999999999999"/>
    <n v="157.69999999999999"/>
    <n v="142.9"/>
    <n v="145.69999999999999"/>
    <n v="154.1"/>
    <n v="136.9"/>
    <n v="145.4"/>
    <n v="156.1"/>
    <n v="157.69999999999999"/>
    <n v="147.6"/>
    <n v="733.30000000000007"/>
    <n v="156"/>
    <s v="2021 January"/>
  </r>
  <r>
    <x v="0"/>
    <x v="2"/>
    <s v="February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2025.3"/>
    <n v="186.5"/>
    <n v="159.1"/>
    <n v="153.9"/>
    <n v="158.4"/>
    <n v="471.4"/>
    <s v="NA"/>
    <n v="161.4"/>
    <n v="154.4"/>
    <n v="154.80000000000001"/>
    <n v="164.3"/>
    <n v="150.19999999999999"/>
    <n v="157"/>
    <n v="163.6"/>
    <n v="155.19999999999999"/>
    <n v="157.19999999999999"/>
    <n v="774.40000000000009"/>
    <n v="156.69999999999999"/>
    <s v="2021 February"/>
  </r>
  <r>
    <x v="1"/>
    <x v="2"/>
    <s v="February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2066"/>
    <n v="193.3"/>
    <n v="154.19999999999999"/>
    <n v="138.19999999999999"/>
    <n v="151.80000000000001"/>
    <n v="444.2"/>
    <n v="159.80000000000001"/>
    <n v="159.80000000000001"/>
    <n v="149.1"/>
    <n v="146.5"/>
    <n v="156.30000000000001"/>
    <n v="140.5"/>
    <n v="147.30000000000001"/>
    <n v="156.6"/>
    <n v="156.69999999999999"/>
    <n v="149.30000000000001"/>
    <n v="740.3"/>
    <n v="156.5"/>
    <s v="2021 February"/>
  </r>
  <r>
    <x v="0"/>
    <x v="2"/>
    <s v="December"/>
    <n v="147.4"/>
    <n v="197"/>
    <n v="176.5"/>
    <n v="159.80000000000001"/>
    <n v="195.8"/>
    <n v="152"/>
    <n v="172.3"/>
    <n v="164.5"/>
    <n v="120.6"/>
    <n v="171.7"/>
    <n v="169.7"/>
    <n v="175.1"/>
    <n v="165.8"/>
    <n v="2168.1999999999998"/>
    <n v="190.8"/>
    <n v="171.8"/>
    <n v="167.3"/>
    <n v="171.2"/>
    <n v="510.3"/>
    <s v="NA"/>
    <n v="161.4"/>
    <n v="165.6"/>
    <n v="163.9"/>
    <n v="174"/>
    <n v="160.1"/>
    <n v="164.5"/>
    <n v="169.7"/>
    <n v="162.80000000000001"/>
    <n v="166"/>
    <n v="817.3"/>
    <n v="167"/>
    <s v="2021 December"/>
  </r>
  <r>
    <x v="1"/>
    <x v="2"/>
    <s v="December"/>
    <n v="151.6"/>
    <n v="202.2"/>
    <n v="180"/>
    <n v="160"/>
    <n v="173.5"/>
    <n v="158.30000000000001"/>
    <n v="219.5"/>
    <n v="164.2"/>
    <n v="121.9"/>
    <n v="168.2"/>
    <n v="156.5"/>
    <n v="178.2"/>
    <n v="172.2"/>
    <n v="2206.3000000000002"/>
    <n v="196.8"/>
    <n v="163.30000000000001"/>
    <n v="146.69999999999999"/>
    <n v="160.69999999999999"/>
    <n v="470.7"/>
    <n v="163.4"/>
    <n v="163.4"/>
    <n v="161.69999999999999"/>
    <n v="156"/>
    <n v="165.1"/>
    <n v="151.80000000000001"/>
    <n v="157.6"/>
    <n v="160.6"/>
    <n v="162.4"/>
    <n v="157.80000000000001"/>
    <n v="785.59999999999991"/>
    <n v="165.2"/>
    <s v="2021 December"/>
  </r>
  <r>
    <x v="0"/>
    <x v="2"/>
    <s v="August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2130.8000000000002"/>
    <n v="190.2"/>
    <n v="167"/>
    <n v="162.6"/>
    <n v="166.3"/>
    <n v="495.90000000000003"/>
    <s v="NA"/>
    <n v="161.4"/>
    <n v="163.1"/>
    <n v="160.9"/>
    <n v="171.1"/>
    <n v="157.69999999999999"/>
    <n v="161.1"/>
    <n v="167.5"/>
    <n v="160.30000000000001"/>
    <n v="163.30000000000001"/>
    <n v="803.3"/>
    <n v="163.6"/>
    <s v="2021 August"/>
  </r>
  <r>
    <x v="1"/>
    <x v="2"/>
    <s v="August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2157.9"/>
    <n v="196.5"/>
    <n v="159.80000000000001"/>
    <n v="143.6"/>
    <n v="157.30000000000001"/>
    <n v="460.7"/>
    <n v="162.1"/>
    <n v="162.1"/>
    <n v="160.69999999999999"/>
    <n v="153.19999999999999"/>
    <n v="162.80000000000001"/>
    <n v="150.4"/>
    <n v="153.69999999999999"/>
    <n v="160.4"/>
    <n v="159.6"/>
    <n v="156"/>
    <n v="772.9"/>
    <n v="162.30000000000001"/>
    <s v="2021 August"/>
  </r>
  <r>
    <x v="0"/>
    <x v="2"/>
    <s v="April"/>
    <n v="142.69999999999999"/>
    <n v="195.5"/>
    <n v="163.4"/>
    <n v="155"/>
    <n v="175.2"/>
    <n v="160.6"/>
    <n v="135.1"/>
    <n v="161.1"/>
    <n v="112.2"/>
    <n v="164.4"/>
    <n v="161.9"/>
    <n v="166.8"/>
    <n v="155.6"/>
    <n v="2049.5"/>
    <n v="186.8"/>
    <n v="160.69999999999999"/>
    <n v="155.1"/>
    <n v="159.9"/>
    <n v="475.69999999999993"/>
    <s v="-"/>
    <n v="161.4"/>
    <n v="156"/>
    <n v="155.5"/>
    <n v="165.3"/>
    <n v="151.69999999999999"/>
    <n v="158.6"/>
    <n v="164.1"/>
    <n v="154.6"/>
    <n v="158"/>
    <n v="778.4"/>
    <n v="157.6"/>
    <s v="2021 April"/>
  </r>
  <r>
    <x v="1"/>
    <x v="2"/>
    <s v="April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2089.6"/>
    <n v="194.4"/>
    <n v="155.9"/>
    <n v="139.30000000000001"/>
    <n v="153.4"/>
    <n v="448.6"/>
    <n v="161.4"/>
    <n v="161.4"/>
    <n v="154.9"/>
    <n v="147.6"/>
    <n v="157.5"/>
    <n v="142.1"/>
    <n v="149.1"/>
    <n v="157.6"/>
    <n v="156.6"/>
    <n v="150.5"/>
    <n v="745.9"/>
    <n v="158"/>
    <s v="2021 April"/>
  </r>
  <r>
    <x v="2"/>
    <x v="2"/>
    <s v="September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2142"/>
    <n v="192.1"/>
    <n v="164.6"/>
    <n v="155.30000000000001"/>
    <n v="163.30000000000001"/>
    <n v="483.2"/>
    <n v="162.1"/>
    <n v="162.1"/>
    <n v="162.6"/>
    <n v="157.5"/>
    <n v="168.4"/>
    <n v="154"/>
    <n v="157.69999999999999"/>
    <n v="163.69999999999999"/>
    <n v="160"/>
    <n v="160"/>
    <n v="789.2"/>
    <n v="163.19999999999999"/>
    <s v="2021 September"/>
  </r>
  <r>
    <x v="2"/>
    <x v="2"/>
    <s v="October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2175.5"/>
    <n v="192.7"/>
    <n v="165.7"/>
    <n v="156.30000000000001"/>
    <n v="164.3"/>
    <n v="486.3"/>
    <n v="163.6"/>
    <n v="163.6"/>
    <n v="164.2"/>
    <n v="158.4"/>
    <n v="169.1"/>
    <n v="155.69999999999999"/>
    <n v="158.6"/>
    <n v="163.9"/>
    <n v="160.80000000000001"/>
    <n v="161"/>
    <n v="794.5"/>
    <n v="165.5"/>
    <s v="2021 October"/>
  </r>
  <r>
    <x v="2"/>
    <x v="2"/>
    <s v="November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2194.1"/>
    <n v="192.9"/>
    <n v="167.2"/>
    <n v="157.4"/>
    <n v="165.8"/>
    <n v="490.40000000000003"/>
    <n v="164.2"/>
    <n v="164.2"/>
    <n v="163.9"/>
    <n v="159.30000000000001"/>
    <n v="169.9"/>
    <n v="154.80000000000001"/>
    <n v="159.80000000000001"/>
    <n v="164.3"/>
    <n v="162.19999999999999"/>
    <n v="161.4"/>
    <n v="797.5"/>
    <n v="166.7"/>
    <s v="2021 November"/>
  </r>
  <r>
    <x v="2"/>
    <x v="2"/>
    <s v="May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2105.7000000000003"/>
    <n v="191.9"/>
    <n v="161.80000000000001"/>
    <n v="152.1"/>
    <n v="160.4"/>
    <n v="474.29999999999995"/>
    <n v="161.6"/>
    <n v="161.6"/>
    <n v="159.4"/>
    <n v="154.69999999999999"/>
    <n v="165.8"/>
    <n v="148.9"/>
    <n v="155.80000000000001"/>
    <n v="161.19999999999999"/>
    <n v="158.6"/>
    <n v="156.80000000000001"/>
    <n v="774.8"/>
    <n v="160.4"/>
    <s v="2021 May"/>
  </r>
  <r>
    <x v="2"/>
    <x v="2"/>
    <s v="March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2039.3999999999999"/>
    <n v="188.1"/>
    <n v="157.80000000000001"/>
    <n v="147.9"/>
    <n v="156.4"/>
    <n v="462.1"/>
    <n v="159.9"/>
    <n v="159.9"/>
    <n v="155.5"/>
    <n v="151.19999999999999"/>
    <n v="161.69999999999999"/>
    <n v="146.19999999999999"/>
    <n v="152.6"/>
    <n v="160.19999999999999"/>
    <n v="153.80000000000001"/>
    <n v="153.80000000000001"/>
    <n v="757.59999999999991"/>
    <n v="156.80000000000001"/>
    <s v="2021 March"/>
  </r>
  <r>
    <x v="2"/>
    <x v="2"/>
    <s v="June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2133.9"/>
    <n v="190.8"/>
    <n v="162.19999999999999"/>
    <n v="151.80000000000001"/>
    <n v="160.69999999999999"/>
    <n v="474.7"/>
    <n v="160.5"/>
    <n v="160.5"/>
    <n v="159.80000000000001"/>
    <n v="154.80000000000001"/>
    <n v="166.3"/>
    <n v="150.69999999999999"/>
    <n v="154.9"/>
    <n v="161.69999999999999"/>
    <n v="158.80000000000001"/>
    <n v="157.6"/>
    <n v="776.80000000000007"/>
    <n v="161.30000000000001"/>
    <s v="2021 June"/>
  </r>
  <r>
    <x v="2"/>
    <x v="2"/>
    <s v="July"/>
    <n v="146.4"/>
    <n v="206.8"/>
    <n v="182.2"/>
    <n v="157.5"/>
    <n v="182.1"/>
    <n v="163.9"/>
    <n v="164.2"/>
    <n v="164"/>
    <n v="114.5"/>
    <n v="168.3"/>
    <n v="160.9"/>
    <n v="172.2"/>
    <n v="164"/>
    <n v="2147"/>
    <n v="191.2"/>
    <n v="162.80000000000001"/>
    <n v="153.1"/>
    <n v="161.4"/>
    <n v="477.29999999999995"/>
    <n v="161.5"/>
    <n v="161.5"/>
    <n v="160.69999999999999"/>
    <n v="155.80000000000001"/>
    <n v="167"/>
    <n v="153.1"/>
    <n v="155.30000000000001"/>
    <n v="163.19999999999999"/>
    <n v="160.1"/>
    <n v="159"/>
    <n v="783.3"/>
    <n v="162.5"/>
    <s v="2021 July"/>
  </r>
  <r>
    <x v="2"/>
    <x v="2"/>
    <s v="January"/>
    <n v="144.9"/>
    <n v="190.1"/>
    <n v="175.3"/>
    <n v="154.1"/>
    <n v="150.9"/>
    <n v="149.6"/>
    <n v="194.2"/>
    <n v="160.4"/>
    <n v="114.6"/>
    <n v="164"/>
    <n v="151.80000000000001"/>
    <n v="165.6"/>
    <n v="161"/>
    <n v="2076.5"/>
    <n v="186.5"/>
    <n v="155.5"/>
    <n v="146.1"/>
    <n v="154.19999999999999"/>
    <n v="455.8"/>
    <n v="157.69999999999999"/>
    <n v="157.69999999999999"/>
    <n v="147.9"/>
    <n v="150"/>
    <n v="159.30000000000001"/>
    <n v="141.9"/>
    <n v="149.6"/>
    <n v="159.19999999999999"/>
    <n v="156.80000000000001"/>
    <n v="151.9"/>
    <n v="750.19999999999993"/>
    <n v="157.30000000000001"/>
    <s v="2021 January"/>
  </r>
  <r>
    <x v="2"/>
    <x v="2"/>
    <s v="February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2039.3000000000002"/>
    <n v="188.3"/>
    <n v="157.19999999999999"/>
    <n v="147.4"/>
    <n v="155.80000000000001"/>
    <n v="460.40000000000003"/>
    <n v="159.80000000000001"/>
    <n v="159.80000000000001"/>
    <n v="152.4"/>
    <n v="150.9"/>
    <n v="161.30000000000001"/>
    <n v="145.1"/>
    <n v="151.5"/>
    <n v="159.5"/>
    <n v="155.80000000000001"/>
    <n v="153.4"/>
    <n v="756.69999999999993"/>
    <n v="156.6"/>
    <s v="2021 February"/>
  </r>
  <r>
    <x v="2"/>
    <x v="2"/>
    <s v="December"/>
    <n v="148.69999999999999"/>
    <n v="198.8"/>
    <n v="177.9"/>
    <n v="159.9"/>
    <n v="187.6"/>
    <n v="154.9"/>
    <n v="188.3"/>
    <n v="164.4"/>
    <n v="121"/>
    <n v="170.5"/>
    <n v="164.2"/>
    <n v="176.5"/>
    <n v="168.2"/>
    <n v="2180.9"/>
    <n v="192.4"/>
    <n v="168.5"/>
    <n v="158.69999999999999"/>
    <n v="167"/>
    <n v="494.2"/>
    <n v="163.4"/>
    <n v="163.4"/>
    <n v="164.1"/>
    <n v="160.19999999999999"/>
    <n v="170.6"/>
    <n v="155.69999999999999"/>
    <n v="160.6"/>
    <n v="164.4"/>
    <n v="162.6"/>
    <n v="162"/>
    <n v="801.1"/>
    <n v="166.2"/>
    <s v="2021 December"/>
  </r>
  <r>
    <x v="2"/>
    <x v="2"/>
    <s v="August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2142"/>
    <n v="192.1"/>
    <n v="164.5"/>
    <n v="155.30000000000001"/>
    <n v="163.19999999999999"/>
    <n v="483"/>
    <n v="162.1"/>
    <n v="162.1"/>
    <n v="162.6"/>
    <n v="157.5"/>
    <n v="168.4"/>
    <n v="154"/>
    <n v="157.6"/>
    <n v="163.80000000000001"/>
    <n v="160"/>
    <n v="160"/>
    <n v="789.1"/>
    <n v="163.19999999999999"/>
    <s v="2021 August"/>
  </r>
  <r>
    <x v="2"/>
    <x v="2"/>
    <s v="April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2064.1"/>
    <n v="188.8"/>
    <n v="158.80000000000001"/>
    <n v="148.5"/>
    <n v="157.30000000000001"/>
    <n v="464.6"/>
    <n v="161.4"/>
    <n v="161.4"/>
    <n v="155.6"/>
    <n v="151.80000000000001"/>
    <n v="162.30000000000001"/>
    <n v="146.6"/>
    <n v="153.19999999999999"/>
    <n v="160.30000000000001"/>
    <n v="155.4"/>
    <n v="154.4"/>
    <n v="761.4"/>
    <n v="157.80000000000001"/>
    <s v="2021 April"/>
  </r>
  <r>
    <x v="0"/>
    <x v="3"/>
    <s v="September"/>
    <n v="146.9"/>
    <n v="183.9"/>
    <n v="149.5"/>
    <n v="153.4"/>
    <n v="140.4"/>
    <n v="147"/>
    <n v="178.8"/>
    <n v="149.30000000000001"/>
    <n v="115.1"/>
    <n v="160"/>
    <n v="145.4"/>
    <n v="161.6"/>
    <n v="156.1"/>
    <n v="1987.3999999999999"/>
    <n v="182.9"/>
    <n v="155.4"/>
    <n v="149.9"/>
    <n v="154.6"/>
    <n v="459.9"/>
    <s v="NA"/>
    <n v="155.69999999999999"/>
    <n v="146.4"/>
    <n v="151.6"/>
    <n v="159.1"/>
    <n v="144.6"/>
    <n v="152.80000000000001"/>
    <n v="161.1"/>
    <n v="157.4"/>
    <n v="153.69999999999999"/>
    <n v="760.09999999999991"/>
    <n v="155.4"/>
    <s v="2020 September"/>
  </r>
  <r>
    <x v="1"/>
    <x v="3"/>
    <s v="September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2041.6000000000001"/>
    <n v="188.7"/>
    <n v="150.19999999999999"/>
    <n v="136.30000000000001"/>
    <n v="148.1"/>
    <n v="434.6"/>
    <n v="156.30000000000001"/>
    <n v="156.30000000000001"/>
    <n v="137.19999999999999"/>
    <n v="145.4"/>
    <n v="150"/>
    <n v="135.1"/>
    <n v="141.80000000000001"/>
    <n v="154.9"/>
    <n v="159.80000000000001"/>
    <n v="146"/>
    <n v="728.1"/>
    <n v="154"/>
    <s v="2020 September"/>
  </r>
  <r>
    <x v="0"/>
    <x v="3"/>
    <s v="October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2030.9"/>
    <n v="182.7"/>
    <n v="155.69999999999999"/>
    <n v="150.6"/>
    <n v="155"/>
    <n v="461.29999999999995"/>
    <s v="NA"/>
    <n v="155.69999999999999"/>
    <n v="146.80000000000001"/>
    <n v="152"/>
    <n v="159.5"/>
    <n v="146.4"/>
    <n v="152.4"/>
    <n v="162.5"/>
    <n v="156.19999999999999"/>
    <n v="154.30000000000001"/>
    <n v="761.3"/>
    <n v="157.5"/>
    <s v="2020 October"/>
  </r>
  <r>
    <x v="1"/>
    <x v="3"/>
    <s v="October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2080.1999999999998"/>
    <n v="188.7"/>
    <n v="150.5"/>
    <n v="136.1"/>
    <n v="148.30000000000001"/>
    <n v="434.90000000000003"/>
    <n v="156.5"/>
    <n v="156.5"/>
    <n v="137.1"/>
    <n v="145.1"/>
    <n v="151"/>
    <n v="135.4"/>
    <n v="142"/>
    <n v="155.69999999999999"/>
    <n v="158.1"/>
    <n v="146.19999999999999"/>
    <n v="726.8"/>
    <n v="155.19999999999999"/>
    <s v="2020 October"/>
  </r>
  <r>
    <x v="0"/>
    <x v="3"/>
    <s v="November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2082.4"/>
    <n v="183.4"/>
    <n v="156.30000000000001"/>
    <n v="151"/>
    <n v="155.5"/>
    <n v="462.8"/>
    <s v="NA"/>
    <n v="155.69999999999999"/>
    <n v="147.5"/>
    <n v="152.80000000000001"/>
    <n v="160.4"/>
    <n v="146.1"/>
    <n v="153.6"/>
    <n v="161.6"/>
    <n v="156.19999999999999"/>
    <n v="154.5"/>
    <n v="763.2"/>
    <n v="159.80000000000001"/>
    <s v="2020 November"/>
  </r>
  <r>
    <x v="1"/>
    <x v="3"/>
    <s v="November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2120.6999999999998"/>
    <n v="188.8"/>
    <n v="151.1"/>
    <n v="136.4"/>
    <n v="148.80000000000001"/>
    <n v="436.3"/>
    <n v="158"/>
    <n v="158"/>
    <n v="137.30000000000001"/>
    <n v="145.1"/>
    <n v="152"/>
    <n v="135.19999999999999"/>
    <n v="144.4"/>
    <n v="156.4"/>
    <n v="157.9"/>
    <n v="146.6"/>
    <n v="729.19999999999993"/>
    <n v="156.69999999999999"/>
    <s v="2020 November"/>
  </r>
  <r>
    <x v="0"/>
    <x v="3"/>
    <s v="May"/>
    <n v="136.68590785907853"/>
    <n v="156.26475409836061"/>
    <n v="140.79756097560974"/>
    <n v="140.32520325203262"/>
    <n v="132.1"/>
    <n v="140.79756097560974"/>
    <n v="155.80000000000001"/>
    <n v="141.4"/>
    <n v="110.9"/>
    <n v="144.5"/>
    <n v="134.1"/>
    <n v="149.08715846994548"/>
    <n v="142.51002710027106"/>
    <n v="1825.268172730908"/>
    <n v="155.38579234972681"/>
    <n v="142.66366120218566"/>
    <n v="135.97732240437156"/>
    <n v="141.66999999999999"/>
    <n v="420.31098360655722"/>
    <s v="NA"/>
    <n v="155.69999999999999"/>
    <n v="136.51"/>
    <n v="136.68"/>
    <n v="138.51"/>
    <n v="127.17"/>
    <n v="133.88999999999999"/>
    <n v="141.13"/>
    <n v="133.35"/>
    <n v="134.22999999999999"/>
    <n v="665.32"/>
    <n v="139.56"/>
    <s v="2020 May"/>
  </r>
  <r>
    <x v="1"/>
    <x v="3"/>
    <s v="May"/>
    <n v="136.68590785907853"/>
    <n v="156.26475409836061"/>
    <n v="140.79756097560974"/>
    <n v="140.32520325203262"/>
    <n v="132.1"/>
    <n v="140.79756097560974"/>
    <n v="155.80000000000001"/>
    <n v="141.4"/>
    <n v="110.9"/>
    <n v="144.5"/>
    <n v="134.1"/>
    <n v="149.08715846994548"/>
    <n v="142.51002710027106"/>
    <n v="1825.268172730908"/>
    <n v="155.38579234972681"/>
    <n v="142.66366120218566"/>
    <n v="135.97732240437156"/>
    <n v="141.66999999999999"/>
    <n v="420.31098360655722"/>
    <s v="NA"/>
    <n v="155.69999999999999"/>
    <n v="136.51"/>
    <n v="136.68"/>
    <n v="138.51"/>
    <n v="127.17"/>
    <n v="133.88999999999999"/>
    <n v="141.13"/>
    <n v="133.35"/>
    <n v="134.22999999999999"/>
    <n v="665.32"/>
    <n v="139.56"/>
    <s v="2020 May"/>
  </r>
  <r>
    <x v="0"/>
    <x v="3"/>
    <s v="March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894.5999999999997"/>
    <n v="170.5"/>
    <n v="153.4"/>
    <n v="147.6"/>
    <n v="152.5"/>
    <n v="453.5"/>
    <s v="NA"/>
    <n v="155.69999999999999"/>
    <n v="153.4"/>
    <n v="151.5"/>
    <n v="156.69999999999999"/>
    <n v="135.80000000000001"/>
    <n v="151.19999999999999"/>
    <n v="161.19999999999999"/>
    <n v="145.1"/>
    <n v="148.6"/>
    <n v="732.2"/>
    <n v="149.80000000000001"/>
    <s v="2020 March"/>
  </r>
  <r>
    <x v="1"/>
    <x v="3"/>
    <s v="March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898.5"/>
    <n v="173.3"/>
    <n v="147.69999999999999"/>
    <n v="133.80000000000001"/>
    <n v="145.6"/>
    <n v="427.1"/>
    <n v="154.5"/>
    <n v="154.5"/>
    <n v="141.4"/>
    <n v="140.80000000000001"/>
    <n v="145"/>
    <n v="124.6"/>
    <n v="137.9"/>
    <n v="152.5"/>
    <n v="145.30000000000001"/>
    <n v="138.69999999999999"/>
    <n v="687.3"/>
    <n v="147.30000000000001"/>
    <s v="2020 March"/>
  </r>
  <r>
    <x v="0"/>
    <x v="3"/>
    <s v="June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951"/>
    <n v="182.4"/>
    <n v="154.69999999999999"/>
    <n v="150"/>
    <n v="154.1"/>
    <n v="458.79999999999995"/>
    <s v="NA"/>
    <n v="155.69999999999999"/>
    <n v="144.9"/>
    <n v="151.69999999999999"/>
    <n v="158.19999999999999"/>
    <n v="141.4"/>
    <n v="153.19999999999999"/>
    <n v="161.80000000000001"/>
    <n v="151.19999999999999"/>
    <n v="151.69999999999999"/>
    <n v="749.2"/>
    <n v="152.69999999999999"/>
    <s v="2020 June"/>
  </r>
  <r>
    <x v="1"/>
    <x v="3"/>
    <s v="June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994.9999999999998"/>
    <n v="186.7"/>
    <n v="149.1"/>
    <n v="136.6"/>
    <n v="147.19999999999999"/>
    <n v="432.9"/>
    <n v="154.69999999999999"/>
    <n v="154.69999999999999"/>
    <n v="137.1"/>
    <n v="140.4"/>
    <n v="148.1"/>
    <n v="129.30000000000001"/>
    <n v="144.5"/>
    <n v="152.5"/>
    <n v="152.19999999999999"/>
    <n v="142"/>
    <n v="708.40000000000009"/>
    <n v="150.80000000000001"/>
    <s v="2020 June"/>
  </r>
  <r>
    <x v="0"/>
    <x v="3"/>
    <s v="July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951"/>
    <n v="182.4"/>
    <n v="154.69999999999999"/>
    <n v="150"/>
    <n v="154.1"/>
    <n v="458.79999999999995"/>
    <s v="NA"/>
    <n v="155.69999999999999"/>
    <n v="144.9"/>
    <n v="151.69999999999999"/>
    <n v="158.19999999999999"/>
    <n v="141.4"/>
    <n v="153.19999999999999"/>
    <n v="161.80000000000001"/>
    <n v="151.19999999999999"/>
    <n v="151.69999999999999"/>
    <n v="749.2"/>
    <n v="152.69999999999999"/>
    <s v="2020 July"/>
  </r>
  <r>
    <x v="1"/>
    <x v="3"/>
    <s v="July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994.9999999999998"/>
    <n v="186.7"/>
    <n v="149.1"/>
    <n v="136.6"/>
    <n v="147.19999999999999"/>
    <n v="432.9"/>
    <n v="154.69999999999999"/>
    <n v="154.69999999999999"/>
    <n v="137.1"/>
    <n v="140.4"/>
    <n v="148.1"/>
    <n v="129.30000000000001"/>
    <n v="144.5"/>
    <n v="152.5"/>
    <n v="152.19999999999999"/>
    <n v="142"/>
    <n v="708.40000000000009"/>
    <n v="150.80000000000001"/>
    <s v="2020 July"/>
  </r>
  <r>
    <x v="0"/>
    <x v="3"/>
    <s v="January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938.6"/>
    <n v="168.6"/>
    <n v="152.80000000000001"/>
    <n v="147.4"/>
    <n v="152.1"/>
    <n v="452.30000000000007"/>
    <s v="NA"/>
    <n v="155.69999999999999"/>
    <n v="150.4"/>
    <n v="151.69999999999999"/>
    <n v="155.69999999999999"/>
    <n v="136.30000000000001"/>
    <n v="150.1"/>
    <n v="161.69999999999999"/>
    <n v="142.5"/>
    <n v="148.1"/>
    <n v="728.7"/>
    <n v="151.9"/>
    <s v="2020 January"/>
  </r>
  <r>
    <x v="1"/>
    <x v="3"/>
    <s v="January"/>
    <n v="145.6"/>
    <n v="167.6"/>
    <n v="157"/>
    <n v="149.30000000000001"/>
    <n v="126.3"/>
    <n v="144.4"/>
    <n v="207.8"/>
    <n v="139.1"/>
    <n v="114.8"/>
    <n v="149.5"/>
    <n v="131.1"/>
    <n v="158.5"/>
    <n v="154.4"/>
    <n v="1945.3999999999999"/>
    <n v="170.8"/>
    <n v="147"/>
    <n v="133.19999999999999"/>
    <n v="144.9"/>
    <n v="425.1"/>
    <n v="153.9"/>
    <n v="153.9"/>
    <n v="135.1"/>
    <n v="140.1"/>
    <n v="143.80000000000001"/>
    <n v="126.1"/>
    <n v="137.19999999999999"/>
    <n v="152.1"/>
    <n v="142.1"/>
    <n v="138.4"/>
    <n v="683.9"/>
    <n v="148.19999999999999"/>
    <s v="2020 January"/>
  </r>
  <r>
    <x v="0"/>
    <x v="3"/>
    <s v="February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909.7999999999997"/>
    <n v="169.4"/>
    <n v="153"/>
    <n v="147.5"/>
    <n v="152.30000000000001"/>
    <n v="452.8"/>
    <s v="NA"/>
    <n v="155.69999999999999"/>
    <n v="152.30000000000001"/>
    <n v="151.80000000000001"/>
    <n v="156.19999999999999"/>
    <n v="136"/>
    <n v="150.4"/>
    <n v="161.9"/>
    <n v="143.4"/>
    <n v="148.4"/>
    <n v="730"/>
    <n v="150.4"/>
    <s v="2020 February"/>
  </r>
  <r>
    <x v="1"/>
    <x v="3"/>
    <s v="February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916.6"/>
    <n v="172"/>
    <n v="147.30000000000001"/>
    <n v="133.5"/>
    <n v="145.19999999999999"/>
    <n v="426"/>
    <n v="154.80000000000001"/>
    <n v="154.80000000000001"/>
    <n v="138.9"/>
    <n v="140.4"/>
    <n v="144.4"/>
    <n v="125.2"/>
    <n v="137.69999999999999"/>
    <n v="152.19999999999999"/>
    <n v="143.5"/>
    <n v="138.4"/>
    <n v="685.19999999999993"/>
    <n v="147.69999999999999"/>
    <s v="2020 February"/>
  </r>
  <r>
    <x v="0"/>
    <x v="3"/>
    <s v="December"/>
    <n v="144.6"/>
    <n v="188.5"/>
    <n v="173.4"/>
    <n v="154"/>
    <n v="150"/>
    <n v="145.9"/>
    <n v="225.2"/>
    <n v="159.5"/>
    <n v="114.4"/>
    <n v="163.5"/>
    <n v="153.4"/>
    <n v="163.6"/>
    <n v="164.5"/>
    <n v="2100.5"/>
    <n v="183.6"/>
    <n v="157"/>
    <n v="151.6"/>
    <n v="156.30000000000001"/>
    <n v="464.90000000000003"/>
    <s v="NA"/>
    <n v="155.69999999999999"/>
    <n v="148.69999999999999"/>
    <n v="153.4"/>
    <n v="161.6"/>
    <n v="146.4"/>
    <n v="153.9"/>
    <n v="162.9"/>
    <n v="156.6"/>
    <n v="155.19999999999999"/>
    <n v="765.5"/>
    <n v="160.69999999999999"/>
    <s v="2020 December"/>
  </r>
  <r>
    <x v="1"/>
    <x v="3"/>
    <s v="December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2125.4"/>
    <n v="190.2"/>
    <n v="151.9"/>
    <n v="136.69999999999999"/>
    <n v="149.6"/>
    <n v="438.20000000000005"/>
    <n v="158.4"/>
    <n v="158.4"/>
    <n v="137.9"/>
    <n v="145.5"/>
    <n v="152.9"/>
    <n v="135.5"/>
    <n v="144.30000000000001"/>
    <n v="156.9"/>
    <n v="157.9"/>
    <n v="146.9"/>
    <n v="730.1"/>
    <n v="156.9"/>
    <s v="2020 December"/>
  </r>
  <r>
    <x v="0"/>
    <x v="3"/>
    <s v="August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978.6"/>
    <n v="180.9"/>
    <n v="155.1"/>
    <n v="149.30000000000001"/>
    <n v="154.30000000000001"/>
    <n v="458.7"/>
    <s v="NA"/>
    <n v="155.69999999999999"/>
    <n v="145.80000000000001"/>
    <n v="151.9"/>
    <n v="158.80000000000001"/>
    <n v="143.6"/>
    <n v="152.19999999999999"/>
    <n v="162.69999999999999"/>
    <n v="153.6"/>
    <n v="153"/>
    <n v="754.3"/>
    <n v="154.69999999999999"/>
    <s v="2020 August"/>
  </r>
  <r>
    <x v="1"/>
    <x v="3"/>
    <s v="August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2024.8999999999999"/>
    <n v="187.2"/>
    <n v="150"/>
    <n v="135.19999999999999"/>
    <n v="147.80000000000001"/>
    <n v="433"/>
    <n v="155.5"/>
    <n v="155.5"/>
    <n v="138.30000000000001"/>
    <n v="144.5"/>
    <n v="148.69999999999999"/>
    <n v="133.9"/>
    <n v="141.19999999999999"/>
    <n v="155.5"/>
    <n v="155.19999999999999"/>
    <n v="144.80000000000001"/>
    <n v="719.59999999999991"/>
    <n v="152.9"/>
    <s v="2020 August"/>
  </r>
  <r>
    <x v="0"/>
    <x v="3"/>
    <s v="April"/>
    <n v="147.19999999999999"/>
    <n v="156.26475409836061"/>
    <n v="146.9"/>
    <n v="155.6"/>
    <n v="137.1"/>
    <n v="147.30000000000001"/>
    <n v="162.69999999999999"/>
    <n v="150.19999999999999"/>
    <n v="119.8"/>
    <n v="158.69999999999999"/>
    <n v="139.19999999999999"/>
    <n v="149.08715846994548"/>
    <n v="150.1"/>
    <n v="1920.1519125683062"/>
    <n v="155.38579234972681"/>
    <n v="142.66366120218566"/>
    <n v="135.97732240437156"/>
    <n v="141.66999999999999"/>
    <n v="420.31098360655722"/>
    <s v="NA"/>
    <n v="155.69999999999999"/>
    <n v="148.4"/>
    <n v="136.68"/>
    <n v="154.30000000000001"/>
    <n v="127.17"/>
    <n v="133.88999999999999"/>
    <n v="141.13"/>
    <n v="133.35"/>
    <n v="134.22999999999999"/>
    <n v="665.32"/>
    <n v="139.56"/>
    <s v="2020 April"/>
  </r>
  <r>
    <x v="1"/>
    <x v="3"/>
    <s v="April"/>
    <n v="151.80000000000001"/>
    <n v="156.26475409836061"/>
    <n v="151.9"/>
    <n v="155.5"/>
    <n v="131.6"/>
    <n v="152.9"/>
    <n v="180"/>
    <n v="150.80000000000001"/>
    <n v="121.2"/>
    <n v="154"/>
    <n v="133.5"/>
    <n v="149.08715846994548"/>
    <n v="153.5"/>
    <n v="1942.0519125683061"/>
    <n v="155.38579234972681"/>
    <n v="142.66366120218566"/>
    <n v="135.97732240437156"/>
    <n v="141.66999999999999"/>
    <n v="420.31098360655722"/>
    <n v="155.6"/>
    <n v="155.6"/>
    <n v="137.1"/>
    <n v="136.68"/>
    <n v="144.80000000000001"/>
    <n v="127.17"/>
    <n v="133.88999999999999"/>
    <n v="141.13"/>
    <n v="133.35"/>
    <n v="134.22999999999999"/>
    <n v="665.32"/>
    <n v="139.56"/>
    <s v="2020 April"/>
  </r>
  <r>
    <x v="2"/>
    <x v="3"/>
    <s v="September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2007"/>
    <n v="184.4"/>
    <n v="153.4"/>
    <n v="144.30000000000001"/>
    <n v="152"/>
    <n v="449.70000000000005"/>
    <n v="156.30000000000001"/>
    <n v="156.30000000000001"/>
    <n v="142.9"/>
    <n v="148.69999999999999"/>
    <n v="155.6"/>
    <n v="139.6"/>
    <n v="146.6"/>
    <n v="157.5"/>
    <n v="158.4"/>
    <n v="150"/>
    <n v="743.3"/>
    <n v="154.69999999999999"/>
    <s v="2020 September"/>
  </r>
  <r>
    <x v="2"/>
    <x v="3"/>
    <s v="October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2048.6000000000004"/>
    <n v="184.3"/>
    <n v="153.69999999999999"/>
    <n v="144.6"/>
    <n v="152.30000000000001"/>
    <n v="450.59999999999997"/>
    <n v="156.5"/>
    <n v="156.5"/>
    <n v="143.1"/>
    <n v="148.69999999999999"/>
    <n v="156.30000000000001"/>
    <n v="140.6"/>
    <n v="146.5"/>
    <n v="158.5"/>
    <n v="157"/>
    <n v="150.4"/>
    <n v="743.19999999999993"/>
    <n v="156.4"/>
    <s v="2020 October"/>
  </r>
  <r>
    <x v="2"/>
    <x v="3"/>
    <s v="November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2095.6"/>
    <n v="184.8"/>
    <n v="154.30000000000001"/>
    <n v="144.9"/>
    <n v="152.80000000000001"/>
    <n v="452.00000000000006"/>
    <n v="158"/>
    <n v="158"/>
    <n v="143.6"/>
    <n v="149.19999999999999"/>
    <n v="157.19999999999999"/>
    <n v="140.4"/>
    <n v="148.4"/>
    <n v="158.6"/>
    <n v="156.9"/>
    <n v="150.69999999999999"/>
    <n v="745.59999999999991"/>
    <n v="158.4"/>
    <s v="2020 November"/>
  </r>
  <r>
    <x v="2"/>
    <x v="3"/>
    <s v="May"/>
    <n v="136.68590785907853"/>
    <n v="156.26475409836061"/>
    <n v="140.79756097560974"/>
    <n v="140.32520325203262"/>
    <n v="132.1"/>
    <n v="140.79756097560974"/>
    <n v="155.80000000000001"/>
    <n v="141.4"/>
    <n v="110.9"/>
    <n v="144.5"/>
    <n v="134.1"/>
    <n v="149.08715846994548"/>
    <n v="142.51002710027106"/>
    <n v="1825.268172730908"/>
    <n v="155.38579234972681"/>
    <n v="142.66366120218566"/>
    <n v="135.97732240437156"/>
    <n v="141.66999999999999"/>
    <n v="420.31098360655722"/>
    <s v="NA"/>
    <n v="155.69999999999999"/>
    <n v="136.51"/>
    <n v="136.68"/>
    <n v="138.51"/>
    <n v="127.17"/>
    <n v="133.88999999999999"/>
    <n v="141.13"/>
    <n v="133.35"/>
    <n v="134.22999999999999"/>
    <n v="665.32"/>
    <n v="139.56"/>
    <s v="2020 May"/>
  </r>
  <r>
    <x v="2"/>
    <x v="3"/>
    <s v="March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895.4"/>
    <n v="171.2"/>
    <n v="151.19999999999999"/>
    <n v="141.9"/>
    <n v="149.80000000000001"/>
    <n v="442.90000000000003"/>
    <n v="154.5"/>
    <n v="154.5"/>
    <n v="148.9"/>
    <n v="146.4"/>
    <n v="152.30000000000001"/>
    <n v="129.9"/>
    <n v="143.69999999999999"/>
    <n v="156.1"/>
    <n v="145.19999999999999"/>
    <n v="143.80000000000001"/>
    <n v="709"/>
    <n v="148.6"/>
    <s v="2020 March"/>
  </r>
  <r>
    <x v="2"/>
    <x v="3"/>
    <s v="June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966.8000000000002"/>
    <n v="183.5"/>
    <n v="152.5"/>
    <n v="144.4"/>
    <n v="151.4"/>
    <n v="448.29999999999995"/>
    <n v="154.69999999999999"/>
    <n v="154.69999999999999"/>
    <n v="141.9"/>
    <n v="146.4"/>
    <n v="154.4"/>
    <n v="135"/>
    <n v="148.30000000000001"/>
    <n v="156.4"/>
    <n v="151.6"/>
    <n v="147"/>
    <n v="728.3"/>
    <n v="151.80000000000001"/>
    <s v="2020 June"/>
  </r>
  <r>
    <x v="2"/>
    <x v="3"/>
    <s v="July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966.8000000000002"/>
    <n v="183.5"/>
    <n v="152.5"/>
    <n v="144.4"/>
    <n v="151.4"/>
    <n v="448.29999999999995"/>
    <n v="154.69999999999999"/>
    <n v="154.69999999999999"/>
    <n v="141.9"/>
    <n v="146.4"/>
    <n v="154.4"/>
    <n v="135"/>
    <n v="148.30000000000001"/>
    <n v="156.4"/>
    <n v="151.6"/>
    <n v="147"/>
    <n v="728.3"/>
    <n v="151.80000000000001"/>
    <s v="2020 July"/>
  </r>
  <r>
    <x v="2"/>
    <x v="3"/>
    <s v="January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940.3999999999999"/>
    <n v="169.2"/>
    <n v="150.5"/>
    <n v="141.5"/>
    <n v="149.19999999999999"/>
    <n v="441.2"/>
    <n v="153.9"/>
    <n v="153.9"/>
    <n v="144.6"/>
    <n v="146.19999999999999"/>
    <n v="151.19999999999999"/>
    <n v="130.9"/>
    <n v="142.80000000000001"/>
    <n v="156.1"/>
    <n v="142.30000000000001"/>
    <n v="143.4"/>
    <n v="705.6"/>
    <n v="150.19999999999999"/>
    <s v="2020 January"/>
  </r>
  <r>
    <x v="2"/>
    <x v="3"/>
    <s v="February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911.6"/>
    <n v="170.1"/>
    <n v="150.80000000000001"/>
    <n v="141.69999999999999"/>
    <n v="149.5"/>
    <n v="442"/>
    <n v="154.80000000000001"/>
    <n v="154.80000000000001"/>
    <n v="147.19999999999999"/>
    <n v="146.4"/>
    <n v="151.69999999999999"/>
    <n v="130.30000000000001"/>
    <n v="143.19999999999999"/>
    <n v="156.19999999999999"/>
    <n v="143.4"/>
    <n v="143.6"/>
    <n v="706.90000000000009"/>
    <n v="149.1"/>
    <s v="2020 February"/>
  </r>
  <r>
    <x v="2"/>
    <x v="3"/>
    <s v="December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2109.1"/>
    <n v="185.4"/>
    <n v="155"/>
    <n v="145.4"/>
    <n v="153.6"/>
    <n v="454"/>
    <n v="158.4"/>
    <n v="158.4"/>
    <n v="144.6"/>
    <n v="149.69999999999999"/>
    <n v="158.30000000000001"/>
    <n v="140.69999999999999"/>
    <n v="148.5"/>
    <n v="159.4"/>
    <n v="157.1"/>
    <n v="151.19999999999999"/>
    <n v="747.2"/>
    <n v="158.9"/>
    <s v="2020 December"/>
  </r>
  <r>
    <x v="2"/>
    <x v="3"/>
    <s v="August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995.1999999999998"/>
    <n v="182.6"/>
    <n v="153.1"/>
    <n v="143.4"/>
    <n v="151.69999999999999"/>
    <n v="448.2"/>
    <n v="155.5"/>
    <n v="155.5"/>
    <n v="143"/>
    <n v="148.4"/>
    <n v="155"/>
    <n v="138.5"/>
    <n v="146"/>
    <n v="158.5"/>
    <n v="154.30000000000001"/>
    <n v="149"/>
    <n v="736.2"/>
    <n v="153.9"/>
    <s v="2020 August"/>
  </r>
  <r>
    <x v="2"/>
    <x v="3"/>
    <s v="April"/>
    <n v="148.69999999999999"/>
    <n v="156.26475409836061"/>
    <n v="148.80000000000001"/>
    <n v="155.6"/>
    <n v="135.1"/>
    <n v="149.9"/>
    <n v="168.6"/>
    <n v="150.4"/>
    <n v="120.3"/>
    <n v="157.1"/>
    <n v="136.80000000000001"/>
    <n v="149.08715846994548"/>
    <n v="151.4"/>
    <n v="1928.0519125683061"/>
    <n v="155.38579234972681"/>
    <n v="142.66366120218566"/>
    <n v="135.97732240437156"/>
    <n v="141.66999999999999"/>
    <n v="420.31098360655722"/>
    <n v="155.6"/>
    <n v="155.6"/>
    <n v="144.1"/>
    <n v="136.68"/>
    <n v="150.69999999999999"/>
    <n v="127.17"/>
    <n v="133.88999999999999"/>
    <n v="141.13"/>
    <n v="133.35"/>
    <n v="134.22999999999999"/>
    <n v="665.32"/>
    <n v="139.56"/>
    <s v="2020 April"/>
  </r>
  <r>
    <x v="2"/>
    <x v="4"/>
    <s v="September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857.6999999999998"/>
    <n v="166.5"/>
    <n v="149.19999999999999"/>
    <n v="140.6"/>
    <n v="147.9"/>
    <n v="437.69999999999993"/>
    <n v="152.19999999999999"/>
    <n v="152.19999999999999"/>
    <n v="139.19999999999999"/>
    <n v="144.6"/>
    <n v="149"/>
    <n v="126.1"/>
    <n v="141.30000000000001"/>
    <n v="155.19999999999999"/>
    <n v="139.69999999999999"/>
    <n v="140.69999999999999"/>
    <n v="692.40000000000009"/>
    <n v="145.80000000000001"/>
    <s v="2019 September"/>
  </r>
  <r>
    <x v="2"/>
    <x v="4"/>
    <s v="October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885.5999999999997"/>
    <n v="167.1"/>
    <n v="149.4"/>
    <n v="140.80000000000001"/>
    <n v="148.19999999999999"/>
    <n v="438.40000000000003"/>
    <n v="153"/>
    <n v="153"/>
    <n v="140.6"/>
    <n v="145"/>
    <n v="149.4"/>
    <n v="126.3"/>
    <n v="141.69999999999999"/>
    <n v="155.4"/>
    <n v="140"/>
    <n v="141"/>
    <n v="694"/>
    <n v="147.19999999999999"/>
    <s v="2019 October"/>
  </r>
  <r>
    <x v="2"/>
    <x v="4"/>
    <s v="November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910.9"/>
    <n v="167.9"/>
    <n v="149.9"/>
    <n v="141"/>
    <n v="148.6"/>
    <n v="439.5"/>
    <n v="153.5"/>
    <n v="153.5"/>
    <n v="142.30000000000001"/>
    <n v="145.30000000000001"/>
    <n v="149.9"/>
    <n v="126.6"/>
    <n v="142.1"/>
    <n v="155.5"/>
    <n v="140.30000000000001"/>
    <n v="141.30000000000001"/>
    <n v="695.59999999999991"/>
    <n v="148.6"/>
    <s v="2019 November"/>
  </r>
  <r>
    <x v="2"/>
    <x v="4"/>
    <s v="May"/>
    <n v="138.30000000000001"/>
    <n v="158.5"/>
    <n v="136"/>
    <n v="142.5"/>
    <n v="122"/>
    <n v="146.5"/>
    <n v="143"/>
    <n v="124.9"/>
    <n v="109.9"/>
    <n v="139.9"/>
    <n v="134"/>
    <n v="155.5"/>
    <n v="140.9"/>
    <n v="1791.9000000000003"/>
    <n v="164.1"/>
    <n v="148.4"/>
    <n v="140.4"/>
    <n v="147.30000000000001"/>
    <n v="436.1"/>
    <n v="150.1"/>
    <n v="150.1"/>
    <n v="140.30000000000001"/>
    <n v="143.69999999999999"/>
    <n v="146.9"/>
    <n v="124.9"/>
    <n v="139.19999999999999"/>
    <n v="151.6"/>
    <n v="133.4"/>
    <n v="138.19999999999999"/>
    <n v="679.40000000000009"/>
    <n v="142"/>
    <s v="2019 May"/>
  </r>
  <r>
    <x v="2"/>
    <x v="4"/>
    <s v="March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762.9"/>
    <n v="163.5"/>
    <n v="147.9"/>
    <n v="139.9"/>
    <n v="146.69999999999999"/>
    <n v="434.5"/>
    <n v="149"/>
    <n v="149"/>
    <n v="139.69999999999999"/>
    <n v="143.80000000000001"/>
    <n v="146.19999999999999"/>
    <n v="124.6"/>
    <n v="137.69999999999999"/>
    <n v="150.30000000000001"/>
    <n v="133.4"/>
    <n v="137.69999999999999"/>
    <n v="677.2"/>
    <n v="140.4"/>
    <s v="2019 March"/>
  </r>
  <r>
    <x v="0"/>
    <x v="4"/>
    <s v="September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848.7"/>
    <n v="165.7"/>
    <n v="151.69999999999999"/>
    <n v="146.6"/>
    <n v="151"/>
    <n v="449.29999999999995"/>
    <s v="NA"/>
    <n v="150.69999999999999"/>
    <n v="146.9"/>
    <n v="150.30000000000001"/>
    <n v="153.4"/>
    <n v="131.6"/>
    <n v="148.30000000000001"/>
    <n v="160.19999999999999"/>
    <n v="140.19999999999999"/>
    <n v="145.4"/>
    <n v="715.8"/>
    <n v="146.69999999999999"/>
    <s v="2019 September"/>
  </r>
  <r>
    <x v="1"/>
    <x v="4"/>
    <s v="September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874.9"/>
    <n v="168.6"/>
    <n v="145.30000000000001"/>
    <n v="132.19999999999999"/>
    <n v="143.30000000000001"/>
    <n v="420.8"/>
    <n v="152.19999999999999"/>
    <n v="152.19999999999999"/>
    <n v="126.6"/>
    <n v="138.30000000000001"/>
    <n v="141.9"/>
    <n v="121.2"/>
    <n v="135.9"/>
    <n v="151.6"/>
    <n v="139"/>
    <n v="135.69999999999999"/>
    <n v="670.09999999999991"/>
    <n v="144.69999999999999"/>
    <s v="2019 September"/>
  </r>
  <r>
    <x v="2"/>
    <x v="4"/>
    <s v="June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814.1000000000001"/>
    <n v="164.9"/>
    <n v="148.6"/>
    <n v="140.4"/>
    <n v="147.4"/>
    <n v="436.4"/>
    <n v="149.4"/>
    <n v="149.4"/>
    <n v="141.19999999999999"/>
    <n v="143.80000000000001"/>
    <n v="147.4"/>
    <n v="124.6"/>
    <n v="139.6"/>
    <n v="152.5"/>
    <n v="134.30000000000001"/>
    <n v="138.6"/>
    <n v="680.9"/>
    <n v="142.9"/>
    <s v="2019 June"/>
  </r>
  <r>
    <x v="0"/>
    <x v="4"/>
    <s v="October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876.8999999999996"/>
    <n v="166.3"/>
    <n v="151.69999999999999"/>
    <n v="146.69999999999999"/>
    <n v="151"/>
    <n v="449.4"/>
    <s v="NA"/>
    <n v="150.69999999999999"/>
    <n v="147.69999999999999"/>
    <n v="150.6"/>
    <n v="153.69999999999999"/>
    <n v="131.69999999999999"/>
    <n v="148.69999999999999"/>
    <n v="160.69999999999999"/>
    <n v="140.30000000000001"/>
    <n v="145.69999999999999"/>
    <n v="717"/>
    <n v="148.30000000000001"/>
    <s v="2019 October"/>
  </r>
  <r>
    <x v="1"/>
    <x v="4"/>
    <s v="October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902.6000000000001"/>
    <n v="169.3"/>
    <n v="145.9"/>
    <n v="132.4"/>
    <n v="143.9"/>
    <n v="422.20000000000005"/>
    <n v="153"/>
    <n v="153"/>
    <n v="128.9"/>
    <n v="138.69999999999999"/>
    <n v="142.4"/>
    <n v="121.5"/>
    <n v="136.19999999999999"/>
    <n v="151.69999999999999"/>
    <n v="139.5"/>
    <n v="136"/>
    <n v="671.9"/>
    <n v="146"/>
    <s v="2019 October"/>
  </r>
  <r>
    <x v="2"/>
    <x v="4"/>
    <s v="July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837.5"/>
    <n v="165.2"/>
    <n v="148.9"/>
    <n v="140.5"/>
    <n v="147.6"/>
    <n v="437"/>
    <n v="150.6"/>
    <n v="150.6"/>
    <n v="139.30000000000001"/>
    <n v="144.19999999999999"/>
    <n v="147.9"/>
    <n v="125.6"/>
    <n v="140.5"/>
    <n v="154"/>
    <n v="135.69999999999999"/>
    <n v="139.5"/>
    <n v="685.5"/>
    <n v="144.19999999999999"/>
    <s v="2019 July"/>
  </r>
  <r>
    <x v="0"/>
    <x v="4"/>
    <s v="November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904.6000000000001"/>
    <n v="167.2"/>
    <n v="152.30000000000001"/>
    <n v="147"/>
    <n v="151.5"/>
    <n v="450.8"/>
    <s v="NA"/>
    <n v="150.69999999999999"/>
    <n v="148.4"/>
    <n v="150.9"/>
    <n v="154.30000000000001"/>
    <n v="132.1"/>
    <n v="149.1"/>
    <n v="160.80000000000001"/>
    <n v="140.6"/>
    <n v="146.1"/>
    <n v="718.80000000000007"/>
    <n v="149.9"/>
    <s v="2019 November"/>
  </r>
  <r>
    <x v="1"/>
    <x v="4"/>
    <s v="November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923.9999999999998"/>
    <n v="169.9"/>
    <n v="146.30000000000001"/>
    <n v="132.6"/>
    <n v="144.19999999999999"/>
    <n v="423.09999999999997"/>
    <n v="153.5"/>
    <n v="153.5"/>
    <n v="132.19999999999999"/>
    <n v="139.1"/>
    <n v="142.80000000000001"/>
    <n v="121.7"/>
    <n v="136.69999999999999"/>
    <n v="151.80000000000001"/>
    <n v="139.80000000000001"/>
    <n v="136.30000000000001"/>
    <n v="673.59999999999991"/>
    <n v="147"/>
    <s v="2019 November"/>
  </r>
  <r>
    <x v="2"/>
    <x v="4"/>
    <s v="January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753.3999999999999"/>
    <n v="163.19999999999999"/>
    <n v="147.6"/>
    <n v="139"/>
    <n v="146.4"/>
    <n v="433"/>
    <n v="147.69999999999999"/>
    <n v="147.69999999999999"/>
    <n v="139.5"/>
    <n v="143.6"/>
    <n v="145.1"/>
    <n v="123.3"/>
    <n v="136.69999999999999"/>
    <n v="150.19999999999999"/>
    <n v="132.80000000000001"/>
    <n v="136.9"/>
    <n v="673.3"/>
    <n v="139.6"/>
    <s v="2019 January"/>
  </r>
  <r>
    <x v="0"/>
    <x v="4"/>
    <s v="May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782.1000000000001"/>
    <n v="163.30000000000001"/>
    <n v="151.30000000000001"/>
    <n v="146.6"/>
    <n v="150.69999999999999"/>
    <n v="448.59999999999997"/>
    <s v="NA"/>
    <n v="150.69999999999999"/>
    <n v="146.9"/>
    <n v="149.5"/>
    <n v="151.30000000000001"/>
    <n v="130.19999999999999"/>
    <n v="145.9"/>
    <n v="156.69999999999999"/>
    <n v="133.9"/>
    <n v="142.9"/>
    <n v="702.4"/>
    <n v="142.4"/>
    <s v="2019 May"/>
  </r>
  <r>
    <x v="1"/>
    <x v="4"/>
    <s v="May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811.5000000000002"/>
    <n v="166.2"/>
    <n v="144"/>
    <n v="131.69999999999999"/>
    <n v="142.19999999999999"/>
    <n v="417.9"/>
    <n v="150.1"/>
    <n v="150.1"/>
    <n v="129.4"/>
    <n v="137.19999999999999"/>
    <n v="139.80000000000001"/>
    <n v="120.1"/>
    <n v="134"/>
    <n v="148"/>
    <n v="132.6"/>
    <n v="133.30000000000001"/>
    <n v="657.2"/>
    <n v="141.5"/>
    <s v="2019 May"/>
  </r>
  <r>
    <x v="2"/>
    <x v="4"/>
    <s v="February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757.1"/>
    <n v="163.4"/>
    <n v="147.69999999999999"/>
    <n v="139.69999999999999"/>
    <n v="146.5"/>
    <n v="433.9"/>
    <n v="148.5"/>
    <n v="148.5"/>
    <n v="138.4"/>
    <n v="143.69999999999999"/>
    <n v="145.6"/>
    <n v="123.9"/>
    <n v="137.1"/>
    <n v="150.30000000000001"/>
    <n v="134.1"/>
    <n v="137.4"/>
    <n v="676.2"/>
    <n v="139.9"/>
    <s v="2019 February"/>
  </r>
  <r>
    <x v="0"/>
    <x v="4"/>
    <s v="March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761.2000000000003"/>
    <n v="162.9"/>
    <n v="150.80000000000001"/>
    <n v="146.1"/>
    <n v="150.1"/>
    <n v="447"/>
    <s v="NA"/>
    <n v="150.69999999999999"/>
    <n v="146.4"/>
    <n v="150"/>
    <n v="150.4"/>
    <n v="129.9"/>
    <n v="143.80000000000001"/>
    <n v="155.5"/>
    <n v="134"/>
    <n v="142.4"/>
    <n v="700.1"/>
    <n v="141.19999999999999"/>
    <s v="2019 March"/>
  </r>
  <r>
    <x v="1"/>
    <x v="4"/>
    <s v="March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768.4"/>
    <n v="165.3"/>
    <n v="143.5"/>
    <n v="131.19999999999999"/>
    <n v="141.6"/>
    <n v="416.29999999999995"/>
    <n v="149"/>
    <n v="149"/>
    <n v="128.80000000000001"/>
    <n v="136.80000000000001"/>
    <n v="139.19999999999999"/>
    <n v="119.9"/>
    <n v="133"/>
    <n v="146.69999999999999"/>
    <n v="132.5"/>
    <n v="132.80000000000001"/>
    <n v="655"/>
    <n v="139.5"/>
    <s v="2019 March"/>
  </r>
  <r>
    <x v="2"/>
    <x v="4"/>
    <s v="December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946.1000000000001"/>
    <n v="168.5"/>
    <n v="150.30000000000001"/>
    <n v="141.30000000000001"/>
    <n v="149"/>
    <n v="440.6"/>
    <n v="152.80000000000001"/>
    <n v="152.80000000000001"/>
    <n v="143.69999999999999"/>
    <n v="145.80000000000001"/>
    <n v="150.4"/>
    <n v="129.80000000000001"/>
    <n v="142.30000000000001"/>
    <n v="155.69999999999999"/>
    <n v="140.4"/>
    <n v="142.5"/>
    <n v="700.80000000000007"/>
    <n v="150.4"/>
    <s v="2019 December"/>
  </r>
  <r>
    <x v="0"/>
    <x v="4"/>
    <s v="June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804.1999999999998"/>
    <n v="164.2"/>
    <n v="151.4"/>
    <n v="146.5"/>
    <n v="150.69999999999999"/>
    <n v="448.59999999999997"/>
    <s v="NA"/>
    <n v="150.69999999999999"/>
    <n v="147.80000000000001"/>
    <n v="149.6"/>
    <n v="151.69999999999999"/>
    <n v="130.19999999999999"/>
    <n v="146.4"/>
    <n v="157.69999999999999"/>
    <n v="134.80000000000001"/>
    <n v="143.30000000000001"/>
    <n v="704.3"/>
    <n v="143.6"/>
    <s v="2019 June"/>
  </r>
  <r>
    <x v="1"/>
    <x v="4"/>
    <s v="June"/>
    <n v="140.69999999999999"/>
    <n v="159.6"/>
    <n v="140.4"/>
    <n v="143.4"/>
    <n v="118.6"/>
    <n v="150.9"/>
    <n v="169.8"/>
    <n v="127.4"/>
    <n v="111.8"/>
    <n v="141"/>
    <n v="129"/>
    <n v="155.1"/>
    <n v="145.6"/>
    <n v="1833.2999999999997"/>
    <n v="166.7"/>
    <n v="144.30000000000001"/>
    <n v="131.69999999999999"/>
    <n v="142.4"/>
    <n v="418.4"/>
    <n v="149.4"/>
    <n v="149.4"/>
    <n v="130.5"/>
    <n v="137.4"/>
    <n v="140.30000000000001"/>
    <n v="119.6"/>
    <n v="134.30000000000001"/>
    <n v="148.9"/>
    <n v="133.69999999999999"/>
    <n v="133.6"/>
    <n v="658.6"/>
    <n v="142.1"/>
    <s v="2019 June"/>
  </r>
  <r>
    <x v="2"/>
    <x v="4"/>
    <s v="August"/>
    <n v="140.1"/>
    <n v="160.6"/>
    <n v="138.5"/>
    <n v="144.69999999999999"/>
    <n v="122.9"/>
    <n v="149.4"/>
    <n v="167.4"/>
    <n v="130.9"/>
    <n v="112"/>
    <n v="142.6"/>
    <n v="134.9"/>
    <n v="156.6"/>
    <n v="145.9"/>
    <n v="1846.5"/>
    <n v="165.8"/>
    <n v="149.1"/>
    <n v="140.6"/>
    <n v="147.9"/>
    <n v="437.6"/>
    <n v="151.6"/>
    <n v="151.6"/>
    <n v="138.5"/>
    <n v="144.5"/>
    <n v="148.5"/>
    <n v="125.8"/>
    <n v="140.9"/>
    <n v="154.9"/>
    <n v="138.4"/>
    <n v="140.19999999999999"/>
    <n v="689.8"/>
    <n v="145"/>
    <s v="2019 August"/>
  </r>
  <r>
    <x v="0"/>
    <x v="4"/>
    <s v="July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826.8999999999999"/>
    <n v="164.5"/>
    <n v="151.6"/>
    <n v="146.6"/>
    <n v="150.9"/>
    <n v="449.1"/>
    <s v="NA"/>
    <n v="150.69999999999999"/>
    <n v="146.80000000000001"/>
    <n v="150"/>
    <n v="152.19999999999999"/>
    <n v="131.19999999999999"/>
    <n v="147.5"/>
    <n v="159.1"/>
    <n v="136.1"/>
    <n v="144.19999999999999"/>
    <n v="709"/>
    <n v="144.9"/>
    <s v="2019 July"/>
  </r>
  <r>
    <x v="1"/>
    <x v="4"/>
    <s v="July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857.3999999999999"/>
    <n v="167.2"/>
    <n v="144.69999999999999"/>
    <n v="131.9"/>
    <n v="142.69999999999999"/>
    <n v="419.3"/>
    <n v="150.6"/>
    <n v="150.6"/>
    <n v="127"/>
    <n v="137.69999999999999"/>
    <n v="140.80000000000001"/>
    <n v="120.6"/>
    <n v="135"/>
    <n v="150.4"/>
    <n v="135.1"/>
    <n v="134.5"/>
    <n v="662.9"/>
    <n v="143.30000000000001"/>
    <s v="2019 July"/>
  </r>
  <r>
    <x v="0"/>
    <x v="4"/>
    <s v="January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759.6000000000001"/>
    <n v="162.69999999999999"/>
    <n v="150.6"/>
    <n v="145.1"/>
    <n v="149.9"/>
    <n v="445.6"/>
    <s v="NA"/>
    <n v="150.69999999999999"/>
    <n v="146.19999999999999"/>
    <n v="150.1"/>
    <n v="149.6"/>
    <n v="128.6"/>
    <n v="142.9"/>
    <n v="155.19999999999999"/>
    <n v="133.5"/>
    <n v="141.69999999999999"/>
    <n v="696.8"/>
    <n v="141"/>
    <s v="2019 January"/>
  </r>
  <r>
    <x v="1"/>
    <x v="4"/>
    <s v="January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744.3000000000002"/>
    <n v="164.7"/>
    <n v="143"/>
    <n v="130.4"/>
    <n v="141.1"/>
    <n v="414.5"/>
    <n v="147.69999999999999"/>
    <n v="147.69999999999999"/>
    <n v="128.6"/>
    <n v="136.30000000000001"/>
    <n v="137.80000000000001"/>
    <n v="118.6"/>
    <n v="131.9"/>
    <n v="146.6"/>
    <n v="131.69999999999999"/>
    <n v="131.80000000000001"/>
    <n v="650.29999999999995"/>
    <n v="138"/>
    <s v="2019 January"/>
  </r>
  <r>
    <x v="0"/>
    <x v="4"/>
    <s v="February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759.8000000000002"/>
    <n v="162.80000000000001"/>
    <n v="150.5"/>
    <n v="146.1"/>
    <n v="149.9"/>
    <n v="446.5"/>
    <s v="NA"/>
    <n v="150.69999999999999"/>
    <n v="145.30000000000001"/>
    <n v="150.1"/>
    <n v="149.9"/>
    <n v="129.19999999999999"/>
    <n v="143.4"/>
    <n v="155.5"/>
    <n v="134.9"/>
    <n v="142.19999999999999"/>
    <n v="699.8"/>
    <n v="141"/>
    <s v="2019 February"/>
  </r>
  <r>
    <x v="1"/>
    <x v="4"/>
    <s v="February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754.4"/>
    <n v="164.9"/>
    <n v="143.30000000000001"/>
    <n v="130.80000000000001"/>
    <n v="141.4"/>
    <n v="415.5"/>
    <n v="148.5"/>
    <n v="148.5"/>
    <n v="127.1"/>
    <n v="136.6"/>
    <n v="138.5"/>
    <n v="119.2"/>
    <n v="132.19999999999999"/>
    <n v="146.6"/>
    <n v="133"/>
    <n v="132.4"/>
    <n v="653.4"/>
    <n v="138.6"/>
    <s v="2019 February"/>
  </r>
  <r>
    <x v="0"/>
    <x v="4"/>
    <s v="December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940.9999999999995"/>
    <n v="167.8"/>
    <n v="152.6"/>
    <n v="147.30000000000001"/>
    <n v="151.9"/>
    <n v="451.79999999999995"/>
    <s v="NA"/>
    <n v="150.69999999999999"/>
    <n v="149.9"/>
    <n v="151.19999999999999"/>
    <n v="154.80000000000001"/>
    <n v="135"/>
    <n v="149.5"/>
    <n v="161.1"/>
    <n v="140.6"/>
    <n v="147.1"/>
    <n v="723.4"/>
    <n v="152.30000000000001"/>
    <s v="2019 December"/>
  </r>
  <r>
    <x v="1"/>
    <x v="4"/>
    <s v="December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956.7"/>
    <n v="170.4"/>
    <n v="146.80000000000001"/>
    <n v="132.80000000000001"/>
    <n v="144.6"/>
    <n v="424.20000000000005"/>
    <n v="152.80000000000001"/>
    <n v="152.80000000000001"/>
    <n v="133.6"/>
    <n v="139.80000000000001"/>
    <n v="143.19999999999999"/>
    <n v="125.2"/>
    <n v="136.80000000000001"/>
    <n v="151.9"/>
    <n v="140.19999999999999"/>
    <n v="137.69999999999999"/>
    <n v="679.7"/>
    <n v="148.30000000000001"/>
    <s v="2019 December"/>
  </r>
  <r>
    <x v="0"/>
    <x v="4"/>
    <s v="August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834.5000000000002"/>
    <n v="165.1"/>
    <n v="151.80000000000001"/>
    <n v="146.6"/>
    <n v="151.1"/>
    <n v="449.5"/>
    <s v="NA"/>
    <n v="150.69999999999999"/>
    <n v="146.4"/>
    <n v="150.19999999999999"/>
    <n v="152.69999999999999"/>
    <n v="131.4"/>
    <n v="148"/>
    <n v="159.69999999999999"/>
    <n v="138.80000000000001"/>
    <n v="144.9"/>
    <n v="713.30000000000007"/>
    <n v="145.69999999999999"/>
    <s v="2019 August"/>
  </r>
  <r>
    <x v="1"/>
    <x v="4"/>
    <s v="August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869.1"/>
    <n v="167.9"/>
    <n v="145"/>
    <n v="132.19999999999999"/>
    <n v="143"/>
    <n v="420.2"/>
    <n v="151.6"/>
    <n v="151.6"/>
    <n v="125.5"/>
    <n v="138.1"/>
    <n v="141.5"/>
    <n v="120.8"/>
    <n v="135.4"/>
    <n v="151.5"/>
    <n v="137.80000000000001"/>
    <n v="135.30000000000001"/>
    <n v="667.39999999999986"/>
    <n v="144.19999999999999"/>
    <s v="2019 August"/>
  </r>
  <r>
    <x v="2"/>
    <x v="5"/>
    <s v="September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779.5"/>
    <n v="159.19999999999999"/>
    <n v="147.69999999999999"/>
    <n v="139.1"/>
    <n v="146.5"/>
    <n v="433.29999999999995"/>
    <n v="145.30000000000001"/>
    <n v="145.30000000000001"/>
    <n v="142.30000000000001"/>
    <n v="139.69999999999999"/>
    <n v="138.4"/>
    <n v="126"/>
    <n v="134.5"/>
    <n v="146.19999999999999"/>
    <n v="130.9"/>
    <n v="134.69999999999999"/>
    <n v="665.8"/>
    <n v="140.19999999999999"/>
    <s v="2018 September"/>
  </r>
  <r>
    <x v="2"/>
    <x v="5"/>
    <s v="October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776.2"/>
    <n v="162.6"/>
    <n v="148"/>
    <n v="139.19999999999999"/>
    <n v="146.80000000000001"/>
    <n v="434"/>
    <n v="146.9"/>
    <n v="146.9"/>
    <n v="145.30000000000001"/>
    <n v="142.19999999999999"/>
    <n v="142.1"/>
    <n v="125.5"/>
    <n v="136.5"/>
    <n v="147.80000000000001"/>
    <n v="132"/>
    <n v="136.30000000000001"/>
    <n v="672.5"/>
    <n v="140.80000000000001"/>
    <s v="2018 October"/>
  </r>
  <r>
    <x v="2"/>
    <x v="5"/>
    <s v="November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775.7000000000003"/>
    <n v="162.6"/>
    <n v="148"/>
    <n v="139.1"/>
    <n v="146.69999999999999"/>
    <n v="433.8"/>
    <n v="146.9"/>
    <n v="146.9"/>
    <n v="145.1"/>
    <n v="142.19999999999999"/>
    <n v="142.1"/>
    <n v="125.5"/>
    <n v="136.5"/>
    <n v="147.80000000000001"/>
    <n v="132"/>
    <n v="136.30000000000001"/>
    <n v="672.5"/>
    <n v="140.80000000000001"/>
    <s v="2018 November"/>
  </r>
  <r>
    <x v="2"/>
    <x v="5"/>
    <s v="May"/>
    <n v="136.6"/>
    <n v="146.6"/>
    <n v="133.6"/>
    <n v="142.1"/>
    <n v="121"/>
    <n v="154.6"/>
    <n v="135.6"/>
    <n v="122.3"/>
    <n v="109.6"/>
    <n v="138.1"/>
    <n v="129.9"/>
    <n v="151.69999999999999"/>
    <n v="138.1"/>
    <n v="1759.8"/>
    <n v="157.9"/>
    <n v="146"/>
    <n v="137.4"/>
    <n v="144.69999999999999"/>
    <n v="428.09999999999997"/>
    <n v="143.19999999999999"/>
    <n v="143.19999999999999"/>
    <n v="136.9"/>
    <n v="137.4"/>
    <n v="136"/>
    <n v="122.9"/>
    <n v="131.80000000000001"/>
    <n v="142.1"/>
    <n v="129.9"/>
    <n v="132.1"/>
    <n v="654.1"/>
    <n v="137.80000000000001"/>
    <s v="2018 May"/>
  </r>
  <r>
    <x v="2"/>
    <x v="5"/>
    <s v="March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756"/>
    <n v="156.30000000000001"/>
    <n v="144.30000000000001"/>
    <n v="136.19999999999999"/>
    <n v="143.1"/>
    <n v="423.6"/>
    <n v="142"/>
    <n v="142"/>
    <n v="136.5"/>
    <n v="135.6"/>
    <n v="134.30000000000001"/>
    <n v="121"/>
    <n v="130.4"/>
    <n v="139.80000000000001"/>
    <n v="128.19999999999999"/>
    <n v="130.30000000000001"/>
    <n v="645.5"/>
    <n v="136.5"/>
    <s v="2018 March"/>
  </r>
  <r>
    <x v="2"/>
    <x v="5"/>
    <s v="June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774.1000000000001"/>
    <n v="158.30000000000001"/>
    <n v="146.4"/>
    <n v="138.1"/>
    <n v="145.19999999999999"/>
    <n v="429.7"/>
    <n v="142.5"/>
    <n v="142.5"/>
    <n v="138.1"/>
    <n v="137.9"/>
    <n v="136.19999999999999"/>
    <n v="123.7"/>
    <n v="132.6"/>
    <n v="142.80000000000001"/>
    <n v="130.1"/>
    <n v="132.6"/>
    <n v="656.90000000000009"/>
    <n v="138.5"/>
    <s v="2018 June"/>
  </r>
  <r>
    <x v="2"/>
    <x v="5"/>
    <s v="July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795.3"/>
    <n v="157.5"/>
    <n v="146.80000000000001"/>
    <n v="138.4"/>
    <n v="145.6"/>
    <n v="430.80000000000007"/>
    <n v="143.6"/>
    <n v="143.6"/>
    <n v="139.69999999999999"/>
    <n v="138.6"/>
    <n v="137"/>
    <n v="123.6"/>
    <n v="133.1"/>
    <n v="144.69999999999999"/>
    <n v="130.1"/>
    <n v="133.19999999999999"/>
    <n v="658.59999999999991"/>
    <n v="139.80000000000001"/>
    <s v="2018 July"/>
  </r>
  <r>
    <x v="2"/>
    <x v="5"/>
    <s v="January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779.9"/>
    <n v="154.69999999999999"/>
    <n v="143.5"/>
    <n v="135.5"/>
    <n v="142.30000000000001"/>
    <n v="421.3"/>
    <n v="140.4"/>
    <n v="140.4"/>
    <n v="136.6"/>
    <n v="134.9"/>
    <n v="133.30000000000001"/>
    <n v="119.3"/>
    <n v="129.69999999999999"/>
    <n v="139"/>
    <n v="127.3"/>
    <n v="129.1"/>
    <n v="640.29999999999995"/>
    <n v="136.9"/>
    <s v="2018 January"/>
  </r>
  <r>
    <x v="2"/>
    <x v="5"/>
    <s v="February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760.3999999999996"/>
    <n v="154.9"/>
    <n v="143.80000000000001"/>
    <n v="135.6"/>
    <n v="142.6"/>
    <n v="422"/>
    <n v="141.30000000000001"/>
    <n v="141.30000000000001"/>
    <n v="136.69999999999999"/>
    <n v="135.19999999999999"/>
    <n v="133.80000000000001"/>
    <n v="120.2"/>
    <n v="129.9"/>
    <n v="139"/>
    <n v="127.7"/>
    <n v="129.6"/>
    <n v="642.6"/>
    <n v="136.4"/>
    <s v="2018 February"/>
  </r>
  <r>
    <x v="2"/>
    <x v="5"/>
    <s v="December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762.7999999999997"/>
    <n v="163"/>
    <n v="148.1"/>
    <n v="139.4"/>
    <n v="146.80000000000001"/>
    <n v="434.3"/>
    <n v="146.5"/>
    <n v="146.5"/>
    <n v="142.69999999999999"/>
    <n v="143.19999999999999"/>
    <n v="144.9"/>
    <n v="123.6"/>
    <n v="136.80000000000001"/>
    <n v="150.1"/>
    <n v="132.19999999999999"/>
    <n v="136.80000000000001"/>
    <n v="672.59999999999991"/>
    <n v="140.1"/>
    <s v="2018 December"/>
  </r>
  <r>
    <x v="2"/>
    <x v="5"/>
    <s v="August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798.7000000000003"/>
    <n v="157.9"/>
    <n v="147.30000000000001"/>
    <n v="138.80000000000001"/>
    <n v="146.1"/>
    <n v="432.20000000000005"/>
    <n v="144.6"/>
    <n v="144.6"/>
    <n v="140.9"/>
    <n v="139.4"/>
    <n v="137.69999999999999"/>
    <n v="124.3"/>
    <n v="133.6"/>
    <n v="146"/>
    <n v="130.1"/>
    <n v="133.9"/>
    <n v="661.3"/>
    <n v="140.4"/>
    <s v="2018 August"/>
  </r>
  <r>
    <x v="2"/>
    <x v="5"/>
    <s v="April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757.1000000000001"/>
    <n v="156.9"/>
    <n v="145.30000000000001"/>
    <n v="136.69999999999999"/>
    <n v="144"/>
    <n v="426"/>
    <n v="142.9"/>
    <n v="142.9"/>
    <n v="136.5"/>
    <n v="136.6"/>
    <n v="135.19999999999999"/>
    <n v="121.9"/>
    <n v="131.30000000000001"/>
    <n v="141.4"/>
    <n v="129.19999999999999"/>
    <n v="131.30000000000001"/>
    <n v="650.29999999999995"/>
    <n v="137.1"/>
    <s v="2018 April"/>
  </r>
  <r>
    <x v="0"/>
    <x v="5"/>
    <s v="September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799.8000000000002"/>
    <n v="157.69999999999999"/>
    <n v="152.1"/>
    <n v="146.1"/>
    <n v="151.30000000000001"/>
    <n v="449.5"/>
    <s v="NA"/>
    <n v="143.80000000000001"/>
    <n v="149"/>
    <n v="144"/>
    <n v="140"/>
    <n v="129.9"/>
    <n v="140"/>
    <n v="147.6"/>
    <n v="132"/>
    <n v="137.4"/>
    <n v="683.3"/>
    <n v="142.1"/>
    <s v="2018 September"/>
  </r>
  <r>
    <x v="1"/>
    <x v="5"/>
    <s v="September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748.4"/>
    <n v="163.30000000000001"/>
    <n v="140.80000000000001"/>
    <n v="129.30000000000001"/>
    <n v="139.1"/>
    <n v="409.20000000000005"/>
    <n v="145.30000000000001"/>
    <n v="145.30000000000001"/>
    <n v="131.19999999999999"/>
    <n v="134.9"/>
    <n v="135.69999999999999"/>
    <n v="122.5"/>
    <n v="130.19999999999999"/>
    <n v="145.19999999999999"/>
    <n v="129.30000000000001"/>
    <n v="131.9"/>
    <n v="648.79999999999995"/>
    <n v="138.1"/>
    <s v="2018 September"/>
  </r>
  <r>
    <x v="0"/>
    <x v="5"/>
    <s v="October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782.2"/>
    <n v="159.6"/>
    <n v="150.69999999999999"/>
    <n v="144.5"/>
    <n v="149.80000000000001"/>
    <n v="445"/>
    <s v="NA"/>
    <n v="143.80000000000001"/>
    <n v="149.69999999999999"/>
    <n v="147.5"/>
    <n v="144.80000000000001"/>
    <n v="130.80000000000001"/>
    <n v="140.1"/>
    <n v="148"/>
    <n v="134.4"/>
    <n v="139.80000000000001"/>
    <n v="692.59999999999991"/>
    <n v="142.19999999999999"/>
    <s v="2018 October"/>
  </r>
  <r>
    <x v="1"/>
    <x v="5"/>
    <s v="October"/>
    <n v="137.6"/>
    <n v="144.9"/>
    <n v="133.5"/>
    <n v="141.5"/>
    <n v="118"/>
    <n v="139.5"/>
    <n v="153"/>
    <n v="113.2"/>
    <n v="112.8"/>
    <n v="141.1"/>
    <n v="127.6"/>
    <n v="152"/>
    <n v="139.4"/>
    <n v="1754.1"/>
    <n v="164"/>
    <n v="141.5"/>
    <n v="129.80000000000001"/>
    <n v="139.69999999999999"/>
    <n v="411"/>
    <n v="146.30000000000001"/>
    <n v="146.30000000000001"/>
    <n v="133.4"/>
    <n v="135.1"/>
    <n v="136.19999999999999"/>
    <n v="123.3"/>
    <n v="130.69999999999999"/>
    <n v="145.5"/>
    <n v="130.4"/>
    <n v="132.5"/>
    <n v="652"/>
    <n v="138.9"/>
    <s v="2018 October"/>
  </r>
  <r>
    <x v="0"/>
    <x v="5"/>
    <s v="November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787.4999999999995"/>
    <n v="161.9"/>
    <n v="151.69999999999999"/>
    <n v="145.5"/>
    <n v="150.80000000000001"/>
    <n v="448"/>
    <s v="NA"/>
    <n v="143.80000000000001"/>
    <n v="150.30000000000001"/>
    <n v="148"/>
    <n v="145.4"/>
    <n v="130.30000000000001"/>
    <n v="143.1"/>
    <n v="150.19999999999999"/>
    <n v="133.1"/>
    <n v="140.1"/>
    <n v="694.6"/>
    <n v="142.4"/>
    <s v="2018 November"/>
  </r>
  <r>
    <x v="1"/>
    <x v="5"/>
    <s v="November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757.4999999999998"/>
    <n v="164.4"/>
    <n v="142.4"/>
    <n v="130.19999999999999"/>
    <n v="140.5"/>
    <n v="413.1"/>
    <n v="146.9"/>
    <n v="146.9"/>
    <n v="136.69999999999999"/>
    <n v="135.80000000000001"/>
    <n v="136.80000000000001"/>
    <n v="121.2"/>
    <n v="131.30000000000001"/>
    <n v="146.1"/>
    <n v="130.5"/>
    <n v="132.19999999999999"/>
    <n v="651"/>
    <n v="139"/>
    <s v="2018 November"/>
  </r>
  <r>
    <x v="0"/>
    <x v="5"/>
    <s v="May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782.4"/>
    <n v="157"/>
    <n v="150.80000000000001"/>
    <n v="144.1"/>
    <n v="149.80000000000001"/>
    <n v="444.7"/>
    <s v="NA"/>
    <n v="143.80000000000001"/>
    <n v="144.30000000000001"/>
    <n v="141.80000000000001"/>
    <n v="138.4"/>
    <n v="126.4"/>
    <n v="136.80000000000001"/>
    <n v="144.4"/>
    <n v="131.19999999999999"/>
    <n v="135.1"/>
    <n v="671.30000000000007"/>
    <n v="139.80000000000001"/>
    <s v="2018 May"/>
  </r>
  <r>
    <x v="1"/>
    <x v="5"/>
    <s v="May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722.8999999999999"/>
    <n v="160.30000000000001"/>
    <n v="138.6"/>
    <n v="127.9"/>
    <n v="137"/>
    <n v="403.5"/>
    <n v="143.19999999999999"/>
    <n v="143.19999999999999"/>
    <n v="124.7"/>
    <n v="132.5"/>
    <n v="132"/>
    <n v="119.8"/>
    <n v="128"/>
    <n v="140.4"/>
    <n v="128.1"/>
    <n v="128.9"/>
    <n v="637.29999999999995"/>
    <n v="135.4"/>
    <s v="2018 May"/>
  </r>
  <r>
    <x v="0"/>
    <x v="5"/>
    <s v="March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781.9999999999998"/>
    <n v="155.1"/>
    <n v="149.19999999999999"/>
    <n v="143"/>
    <n v="148.30000000000001"/>
    <n v="440.5"/>
    <s v="NA"/>
    <n v="143.80000000000001"/>
    <n v="142.6"/>
    <n v="139.9"/>
    <n v="136.69999999999999"/>
    <n v="124.6"/>
    <n v="135.1"/>
    <n v="142.69999999999999"/>
    <n v="129.30000000000001"/>
    <n v="133.30000000000001"/>
    <n v="662.2"/>
    <n v="138.69999999999999"/>
    <s v="2018 March"/>
  </r>
  <r>
    <x v="1"/>
    <x v="5"/>
    <s v="March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715.5"/>
    <n v="159.69999999999999"/>
    <n v="136.69999999999999"/>
    <n v="126.7"/>
    <n v="135.19999999999999"/>
    <n v="398.59999999999997"/>
    <n v="142"/>
    <n v="142"/>
    <n v="126.4"/>
    <n v="130.80000000000001"/>
    <n v="130.5"/>
    <n v="117.8"/>
    <n v="126.8"/>
    <n v="137.80000000000001"/>
    <n v="126.7"/>
    <n v="127.1"/>
    <n v="629.20000000000005"/>
    <n v="134"/>
    <s v="2018 March"/>
  </r>
  <r>
    <x v="0"/>
    <x v="5"/>
    <s v="June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790.2999999999997"/>
    <n v="157.30000000000001"/>
    <n v="151.30000000000001"/>
    <n v="144.69999999999999"/>
    <n v="150.30000000000001"/>
    <n v="446.3"/>
    <s v="NA"/>
    <n v="143.80000000000001"/>
    <n v="145.1"/>
    <n v="142.19999999999999"/>
    <n v="138.4"/>
    <n v="127.4"/>
    <n v="137.80000000000001"/>
    <n v="145.1"/>
    <n v="131.4"/>
    <n v="135.6"/>
    <n v="674.40000000000009"/>
    <n v="140.5"/>
    <s v="2018 June"/>
  </r>
  <r>
    <x v="1"/>
    <x v="5"/>
    <s v="June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747.3000000000002"/>
    <n v="161"/>
    <n v="138.9"/>
    <n v="128.69999999999999"/>
    <n v="137.4"/>
    <n v="405"/>
    <n v="142.5"/>
    <n v="142.5"/>
    <n v="126.5"/>
    <n v="133.1"/>
    <n v="132.6"/>
    <n v="120.4"/>
    <n v="128.5"/>
    <n v="141.19999999999999"/>
    <n v="128.19999999999999"/>
    <n v="129.5"/>
    <n v="639.70000000000005"/>
    <n v="136.19999999999999"/>
    <s v="2018 June"/>
  </r>
  <r>
    <x v="0"/>
    <x v="5"/>
    <s v="July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810.5000000000002"/>
    <n v="156.1"/>
    <n v="151.5"/>
    <n v="145.1"/>
    <n v="150.6"/>
    <n v="447.20000000000005"/>
    <s v="NA"/>
    <n v="143.80000000000001"/>
    <n v="146.80000000000001"/>
    <n v="143.1"/>
    <n v="139"/>
    <n v="127.5"/>
    <n v="138.4"/>
    <n v="145.80000000000001"/>
    <n v="131.4"/>
    <n v="136"/>
    <n v="676.4"/>
    <n v="141.80000000000001"/>
    <s v="2018 July"/>
  </r>
  <r>
    <x v="1"/>
    <x v="5"/>
    <s v="July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771.1"/>
    <n v="161.4"/>
    <n v="139.6"/>
    <n v="128.9"/>
    <n v="137.9"/>
    <n v="406.4"/>
    <n v="143.6"/>
    <n v="143.6"/>
    <n v="128.1"/>
    <n v="133.6"/>
    <n v="133.6"/>
    <n v="120.1"/>
    <n v="129"/>
    <n v="144"/>
    <n v="128.19999999999999"/>
    <n v="130.19999999999999"/>
    <n v="641.09999999999991"/>
    <n v="137.5"/>
    <s v="2018 July"/>
  </r>
  <r>
    <x v="0"/>
    <x v="5"/>
    <s v="January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800.7"/>
    <n v="153.6"/>
    <n v="148.30000000000001"/>
    <n v="142.30000000000001"/>
    <n v="147.5"/>
    <n v="438.1"/>
    <s v="NA"/>
    <n v="143.80000000000001"/>
    <n v="142.30000000000001"/>
    <n v="139.80000000000001"/>
    <n v="136"/>
    <n v="122.7"/>
    <n v="134.30000000000001"/>
    <n v="141.6"/>
    <n v="128.6"/>
    <n v="132.30000000000001"/>
    <n v="657.7"/>
    <n v="139.30000000000001"/>
    <s v="2018 January"/>
  </r>
  <r>
    <x v="1"/>
    <x v="5"/>
    <s v="January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748.3000000000002"/>
    <n v="157.69999999999999"/>
    <n v="136"/>
    <n v="125.9"/>
    <n v="134.4"/>
    <n v="396.29999999999995"/>
    <n v="140.4"/>
    <n v="140.4"/>
    <n v="127.3"/>
    <n v="129.5"/>
    <n v="129"/>
    <n v="116.3"/>
    <n v="126.2"/>
    <n v="137.1"/>
    <n v="125.5"/>
    <n v="125.8"/>
    <n v="623.29999999999995"/>
    <n v="134.1"/>
    <s v="2018 January"/>
  </r>
  <r>
    <x v="0"/>
    <x v="5"/>
    <s v="February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781.5"/>
    <n v="153.30000000000001"/>
    <n v="148.69999999999999"/>
    <n v="142.4"/>
    <n v="147.80000000000001"/>
    <n v="438.90000000000003"/>
    <s v="NA"/>
    <n v="143.80000000000001"/>
    <n v="142.4"/>
    <n v="139.9"/>
    <n v="136.19999999999999"/>
    <n v="123.3"/>
    <n v="134.30000000000001"/>
    <n v="141.5"/>
    <n v="128.80000000000001"/>
    <n v="132.5"/>
    <n v="658.8"/>
    <n v="138.5"/>
    <s v="2018 February"/>
  </r>
  <r>
    <x v="1"/>
    <x v="5"/>
    <s v="February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727.9"/>
    <n v="159.30000000000001"/>
    <n v="136.30000000000001"/>
    <n v="126.1"/>
    <n v="134.69999999999999"/>
    <n v="397.09999999999997"/>
    <n v="141.30000000000001"/>
    <n v="141.30000000000001"/>
    <n v="127.3"/>
    <n v="129.9"/>
    <n v="129.80000000000001"/>
    <n v="117.4"/>
    <n v="126.5"/>
    <n v="137.19999999999999"/>
    <n v="126.2"/>
    <n v="126.5"/>
    <n v="626.5"/>
    <n v="134"/>
    <s v="2018 February"/>
  </r>
  <r>
    <x v="0"/>
    <x v="5"/>
    <s v="December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773.1000000000001"/>
    <n v="162.4"/>
    <n v="151.6"/>
    <n v="145.9"/>
    <n v="150.80000000000001"/>
    <n v="448.3"/>
    <s v="NA"/>
    <n v="143.80000000000001"/>
    <n v="149"/>
    <n v="149.5"/>
    <n v="149.6"/>
    <n v="128.9"/>
    <n v="143.30000000000001"/>
    <n v="155.1"/>
    <n v="133.19999999999999"/>
    <n v="141.6"/>
    <n v="696.5"/>
    <n v="141.9"/>
    <s v="2018 December"/>
  </r>
  <r>
    <x v="1"/>
    <x v="5"/>
    <s v="December"/>
    <n v="138.5"/>
    <n v="147.80000000000001"/>
    <n v="141.1"/>
    <n v="141.6"/>
    <n v="118.1"/>
    <n v="138.5"/>
    <n v="132.4"/>
    <n v="117.5"/>
    <n v="111"/>
    <n v="141.5"/>
    <n v="128.1"/>
    <n v="152.9"/>
    <n v="137.6"/>
    <n v="1746.6"/>
    <n v="164.6"/>
    <n v="142.69999999999999"/>
    <n v="130.30000000000001"/>
    <n v="140.80000000000001"/>
    <n v="413.8"/>
    <n v="146.5"/>
    <n v="146.5"/>
    <n v="132.4"/>
    <n v="136.19999999999999"/>
    <n v="137.30000000000001"/>
    <n v="118.8"/>
    <n v="131.69999999999999"/>
    <n v="146.5"/>
    <n v="130.80000000000001"/>
    <n v="131.69999999999999"/>
    <n v="649.20000000000005"/>
    <n v="138"/>
    <s v="2018 December"/>
  </r>
  <r>
    <x v="0"/>
    <x v="5"/>
    <s v="August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818.8"/>
    <n v="156.4"/>
    <n v="152.1"/>
    <n v="145.80000000000001"/>
    <n v="151.30000000000001"/>
    <n v="449.2"/>
    <s v="NA"/>
    <n v="143.80000000000001"/>
    <n v="147.69999999999999"/>
    <n v="143.80000000000001"/>
    <n v="139.4"/>
    <n v="128.30000000000001"/>
    <n v="138.6"/>
    <n v="146.9"/>
    <n v="131.30000000000001"/>
    <n v="136.6"/>
    <n v="678.6"/>
    <n v="142.5"/>
    <s v="2018 August"/>
  </r>
  <r>
    <x v="1"/>
    <x v="5"/>
    <s v="August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767.6"/>
    <n v="162.1"/>
    <n v="140"/>
    <n v="129"/>
    <n v="138.30000000000001"/>
    <n v="407.3"/>
    <n v="144.6"/>
    <n v="144.6"/>
    <n v="129.80000000000001"/>
    <n v="134.4"/>
    <n v="134.9"/>
    <n v="120.7"/>
    <n v="129.80000000000001"/>
    <n v="145.30000000000001"/>
    <n v="128.30000000000001"/>
    <n v="131"/>
    <n v="644.20000000000005"/>
    <n v="138"/>
    <s v="2018 August"/>
  </r>
  <r>
    <x v="0"/>
    <x v="5"/>
    <s v="April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780"/>
    <n v="156.1"/>
    <n v="150.1"/>
    <n v="143.30000000000001"/>
    <n v="149.1"/>
    <n v="442.5"/>
    <s v="NA"/>
    <n v="143.80000000000001"/>
    <n v="143.80000000000001"/>
    <n v="140.9"/>
    <n v="137.6"/>
    <n v="125.3"/>
    <n v="136"/>
    <n v="143.69999999999999"/>
    <n v="130.4"/>
    <n v="134.19999999999999"/>
    <n v="666.8"/>
    <n v="139.1"/>
    <s v="2018 April"/>
  </r>
  <r>
    <x v="1"/>
    <x v="5"/>
    <s v="April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720.0000000000002"/>
    <n v="159.19999999999999"/>
    <n v="137.80000000000001"/>
    <n v="127.4"/>
    <n v="136.19999999999999"/>
    <n v="401.40000000000003"/>
    <n v="142.9"/>
    <n v="142.9"/>
    <n v="124.6"/>
    <n v="131.80000000000001"/>
    <n v="131.30000000000001"/>
    <n v="118.9"/>
    <n v="127.6"/>
    <n v="139.69999999999999"/>
    <n v="127.6"/>
    <n v="128.19999999999999"/>
    <n v="634.09999999999991"/>
    <n v="134.80000000000001"/>
    <s v="2018 April"/>
  </r>
  <r>
    <x v="2"/>
    <x v="6"/>
    <s v="September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769.9999999999998"/>
    <n v="150.80000000000001"/>
    <n v="141.1"/>
    <n v="133.4"/>
    <n v="140"/>
    <n v="414.5"/>
    <n v="135.69999999999999"/>
    <n v="135.69999999999999"/>
    <n v="131"/>
    <n v="133.30000000000001"/>
    <n v="130.6"/>
    <n v="118.3"/>
    <n v="127.9"/>
    <n v="137.4"/>
    <n v="125.7"/>
    <n v="127.5"/>
    <n v="632.70000000000005"/>
    <n v="135.19999999999999"/>
    <s v="2017 September"/>
  </r>
  <r>
    <x v="2"/>
    <x v="6"/>
    <s v="October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779.6999999999998"/>
    <n v="151.6"/>
    <n v="142"/>
    <n v="134.1"/>
    <n v="140.80000000000001"/>
    <n v="416.90000000000003"/>
    <n v="137.30000000000001"/>
    <n v="137.30000000000001"/>
    <n v="132.19999999999999"/>
    <n v="133.6"/>
    <n v="131.30000000000001"/>
    <n v="117.8"/>
    <n v="128.4"/>
    <n v="137.9"/>
    <n v="126.2"/>
    <n v="127.7"/>
    <n v="633.69999999999993"/>
    <n v="136.1"/>
    <s v="2017 October"/>
  </r>
  <r>
    <x v="2"/>
    <x v="6"/>
    <s v="November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808.2"/>
    <n v="153.19999999999999"/>
    <n v="143"/>
    <n v="134.80000000000001"/>
    <n v="141.80000000000001"/>
    <n v="419.6"/>
    <n v="138.6"/>
    <n v="138.6"/>
    <n v="135.30000000000001"/>
    <n v="134.4"/>
    <n v="132.6"/>
    <n v="118.3"/>
    <n v="128.9"/>
    <n v="138.6"/>
    <n v="126.8"/>
    <n v="128.4"/>
    <n v="636.80000000000007"/>
    <n v="137.6"/>
    <s v="2017 November"/>
  </r>
  <r>
    <x v="2"/>
    <x v="6"/>
    <s v="May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719.6000000000001"/>
    <n v="146.19999999999999"/>
    <n v="138.19999999999999"/>
    <n v="131.4"/>
    <n v="137.19999999999999"/>
    <n v="406.8"/>
    <n v="132.1"/>
    <n v="132.1"/>
    <n v="129.4"/>
    <n v="130.9"/>
    <n v="128.4"/>
    <n v="116.7"/>
    <n v="125.7"/>
    <n v="134.80000000000001"/>
    <n v="123"/>
    <n v="125.3"/>
    <n v="621.6"/>
    <n v="131.4"/>
    <s v="2017 May"/>
  </r>
  <r>
    <x v="2"/>
    <x v="6"/>
    <s v="March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718.9"/>
    <n v="145.1"/>
    <n v="137.30000000000001"/>
    <n v="130.6"/>
    <n v="136.4"/>
    <n v="404.29999999999995"/>
    <n v="131.1"/>
    <n v="131.1"/>
    <n v="129.1"/>
    <n v="130.1"/>
    <n v="127.8"/>
    <n v="117.6"/>
    <n v="125"/>
    <n v="133.80000000000001"/>
    <n v="122.6"/>
    <n v="125.1"/>
    <n v="620.4"/>
    <n v="130.9"/>
    <s v="2017 March"/>
  </r>
  <r>
    <x v="2"/>
    <x v="6"/>
    <s v="June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734.7"/>
    <n v="146.5"/>
    <n v="138.5"/>
    <n v="131.69999999999999"/>
    <n v="137.5"/>
    <n v="407.7"/>
    <n v="131.4"/>
    <n v="131.4"/>
    <n v="128.80000000000001"/>
    <n v="131.19999999999999"/>
    <n v="128.5"/>
    <n v="116.5"/>
    <n v="125.9"/>
    <n v="135.4"/>
    <n v="123.4"/>
    <n v="125.5"/>
    <n v="622.5"/>
    <n v="132"/>
    <s v="2017 June"/>
  </r>
  <r>
    <x v="2"/>
    <x v="6"/>
    <s v="July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769.3999999999999"/>
    <n v="148.19999999999999"/>
    <n v="139.30000000000001"/>
    <n v="132.1"/>
    <n v="138.30000000000001"/>
    <n v="409.7"/>
    <n v="132.6"/>
    <n v="132.6"/>
    <n v="129.4"/>
    <n v="131.9"/>
    <n v="129.4"/>
    <n v="116"/>
    <n v="126.6"/>
    <n v="136.80000000000001"/>
    <n v="123.6"/>
    <n v="125.9"/>
    <n v="624"/>
    <n v="134.19999999999999"/>
    <s v="2017 July"/>
  </r>
  <r>
    <x v="2"/>
    <x v="6"/>
    <s v="January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727.2999999999995"/>
    <n v="143.80000000000001"/>
    <n v="136.6"/>
    <n v="130.19999999999999"/>
    <n v="135.6"/>
    <n v="402.4"/>
    <n v="129.6"/>
    <n v="129.6"/>
    <n v="126.8"/>
    <n v="129.4"/>
    <n v="127.1"/>
    <n v="117"/>
    <n v="124.2"/>
    <n v="133.30000000000001"/>
    <n v="121.7"/>
    <n v="124.4"/>
    <n v="616.70000000000005"/>
    <n v="130.30000000000001"/>
    <s v="2017 January"/>
  </r>
  <r>
    <x v="2"/>
    <x v="6"/>
    <s v="February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722.3000000000002"/>
    <n v="144.4"/>
    <n v="136.80000000000001"/>
    <n v="130.30000000000001"/>
    <n v="135.9"/>
    <n v="403"/>
    <n v="130.5"/>
    <n v="130.5"/>
    <n v="127.9"/>
    <n v="129.69999999999999"/>
    <n v="127.4"/>
    <n v="117.4"/>
    <n v="124.6"/>
    <n v="133.4"/>
    <n v="122.6"/>
    <n v="124.8"/>
    <n v="619.09999999999991"/>
    <n v="130.6"/>
    <s v="2017 February"/>
  </r>
  <r>
    <x v="2"/>
    <x v="6"/>
    <s v="December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794.9999999999998"/>
    <n v="154.19999999999999"/>
    <n v="143.1"/>
    <n v="135.1"/>
    <n v="142"/>
    <n v="420.2"/>
    <n v="139.1"/>
    <n v="139.1"/>
    <n v="136.6"/>
    <n v="134.69999999999999"/>
    <n v="133.1"/>
    <n v="118.5"/>
    <n v="129"/>
    <n v="138.5"/>
    <n v="126.5"/>
    <n v="128.6"/>
    <n v="637.29999999999995"/>
    <n v="137.19999999999999"/>
    <s v="2017 December"/>
  </r>
  <r>
    <x v="2"/>
    <x v="6"/>
    <s v="August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783.8"/>
    <n v="149.80000000000001"/>
    <n v="140.30000000000001"/>
    <n v="133"/>
    <n v="139.30000000000001"/>
    <n v="412.6"/>
    <n v="134.4"/>
    <n v="134.4"/>
    <n v="129.80000000000001"/>
    <n v="132.80000000000001"/>
    <n v="130.19999999999999"/>
    <n v="117.3"/>
    <n v="127.3"/>
    <n v="137.6"/>
    <n v="124.5"/>
    <n v="126.8"/>
    <n v="628.70000000000005"/>
    <n v="135.4"/>
    <s v="2017 August"/>
  </r>
  <r>
    <x v="2"/>
    <x v="6"/>
    <s v="April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718.4"/>
    <n v="145.4"/>
    <n v="138"/>
    <n v="131.1"/>
    <n v="137"/>
    <n v="406.1"/>
    <n v="131.69999999999999"/>
    <n v="131.69999999999999"/>
    <n v="129.80000000000001"/>
    <n v="130.4"/>
    <n v="128.1"/>
    <n v="116.6"/>
    <n v="125.1"/>
    <n v="134.5"/>
    <n v="123.1"/>
    <n v="125.1"/>
    <n v="620.30000000000007"/>
    <n v="131.1"/>
    <s v="2017 April"/>
  </r>
  <r>
    <x v="0"/>
    <x v="6"/>
    <s v="September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784.3"/>
    <n v="149.80000000000001"/>
    <n v="146.1"/>
    <n v="139.69999999999999"/>
    <n v="145.19999999999999"/>
    <n v="430.99999999999994"/>
    <s v="NA"/>
    <n v="133.6"/>
    <n v="137.4"/>
    <n v="137.9"/>
    <n v="133.4"/>
    <n v="121.2"/>
    <n v="132.30000000000001"/>
    <n v="139.6"/>
    <n v="126.7"/>
    <n v="130.30000000000001"/>
    <n v="648.40000000000009"/>
    <n v="137.6"/>
    <s v="2017 September"/>
  </r>
  <r>
    <x v="1"/>
    <x v="6"/>
    <s v="September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749.7"/>
    <n v="153.6"/>
    <n v="133.30000000000001"/>
    <n v="124.6"/>
    <n v="132"/>
    <n v="389.9"/>
    <n v="135.69999999999999"/>
    <n v="135.69999999999999"/>
    <n v="120.6"/>
    <n v="128.1"/>
    <n v="126.1"/>
    <n v="115.7"/>
    <n v="124.5"/>
    <n v="135.9"/>
    <n v="124.4"/>
    <n v="124.5"/>
    <n v="617.20000000000005"/>
    <n v="132.4"/>
    <s v="2017 September"/>
  </r>
  <r>
    <x v="0"/>
    <x v="6"/>
    <s v="October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790.8999999999999"/>
    <n v="150.5"/>
    <n v="147.19999999999999"/>
    <n v="140.6"/>
    <n v="146.19999999999999"/>
    <n v="433.99999999999994"/>
    <s v="NA"/>
    <n v="133.6"/>
    <n v="138.1"/>
    <n v="138.4"/>
    <n v="134.19999999999999"/>
    <n v="121"/>
    <n v="133"/>
    <n v="140.1"/>
    <n v="127.4"/>
    <n v="130.69999999999999"/>
    <n v="650.5"/>
    <n v="138.30000000000001"/>
    <s v="2017 October"/>
  </r>
  <r>
    <x v="1"/>
    <x v="6"/>
    <s v="October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765.6999999999998"/>
    <n v="154.6"/>
    <n v="134"/>
    <n v="124.9"/>
    <n v="132.6"/>
    <n v="391.5"/>
    <n v="137.30000000000001"/>
    <n v="137.30000000000001"/>
    <n v="122.6"/>
    <n v="128.30000000000001"/>
    <n v="126.6"/>
    <n v="115"/>
    <n v="124.8"/>
    <n v="136.30000000000001"/>
    <n v="124.6"/>
    <n v="124.5"/>
    <n v="617.20000000000005"/>
    <n v="133.5"/>
    <s v="2017 October"/>
  </r>
  <r>
    <x v="0"/>
    <x v="6"/>
    <s v="November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817.7000000000003"/>
    <n v="152.1"/>
    <n v="148.19999999999999"/>
    <n v="141.5"/>
    <n v="147.30000000000001"/>
    <n v="437"/>
    <s v="NA"/>
    <n v="133.6"/>
    <n v="141.1"/>
    <n v="139.4"/>
    <n v="135.80000000000001"/>
    <n v="121.6"/>
    <n v="133.69999999999999"/>
    <n v="141.5"/>
    <n v="128.1"/>
    <n v="131.69999999999999"/>
    <n v="654.5"/>
    <n v="140"/>
    <s v="2017 November"/>
  </r>
  <r>
    <x v="1"/>
    <x v="6"/>
    <s v="November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796.7"/>
    <n v="156.19999999999999"/>
    <n v="135"/>
    <n v="125.4"/>
    <n v="133.5"/>
    <n v="393.9"/>
    <n v="138.6"/>
    <n v="138.6"/>
    <n v="125.7"/>
    <n v="128.80000000000001"/>
    <n v="127.4"/>
    <n v="115.3"/>
    <n v="125.1"/>
    <n v="136.6"/>
    <n v="124.9"/>
    <n v="124.9"/>
    <n v="619"/>
    <n v="134.80000000000001"/>
    <s v="2017 November"/>
  </r>
  <r>
    <x v="0"/>
    <x v="6"/>
    <s v="May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727.4999999999995"/>
    <n v="145.5"/>
    <n v="142.5"/>
    <n v="137.30000000000001"/>
    <n v="141.80000000000001"/>
    <n v="421.6"/>
    <s v="NA"/>
    <n v="133.6"/>
    <n v="135"/>
    <n v="134.9"/>
    <n v="131.4"/>
    <n v="119.4"/>
    <n v="129.4"/>
    <n v="136.30000000000001"/>
    <n v="123.7"/>
    <n v="127.9"/>
    <n v="635.30000000000007"/>
    <n v="133.30000000000001"/>
    <s v="2017 May"/>
  </r>
  <r>
    <x v="1"/>
    <x v="6"/>
    <s v="May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709.6"/>
    <n v="148.30000000000001"/>
    <n v="131.5"/>
    <n v="123.2"/>
    <n v="130.19999999999999"/>
    <n v="384.9"/>
    <n v="132.1"/>
    <n v="132.1"/>
    <n v="120.1"/>
    <n v="126.5"/>
    <n v="123.6"/>
    <n v="114.3"/>
    <n v="122.8"/>
    <n v="133.80000000000001"/>
    <n v="122"/>
    <n v="122.6"/>
    <n v="608.20000000000005"/>
    <n v="129.30000000000001"/>
    <s v="2017 May"/>
  </r>
  <r>
    <x v="0"/>
    <x v="6"/>
    <s v="March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728.5000000000002"/>
    <n v="144.19999999999999"/>
    <n v="141.6"/>
    <n v="136.19999999999999"/>
    <n v="140.80000000000001"/>
    <n v="418.59999999999997"/>
    <s v="NA"/>
    <n v="133.6"/>
    <n v="134.19999999999999"/>
    <n v="134.1"/>
    <n v="130.6"/>
    <n v="119.8"/>
    <n v="128.30000000000001"/>
    <n v="135.19999999999999"/>
    <n v="123.3"/>
    <n v="127.4"/>
    <n v="632.9"/>
    <n v="132.80000000000001"/>
    <s v="2017 March"/>
  </r>
  <r>
    <x v="1"/>
    <x v="6"/>
    <s v="March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705.6999999999998"/>
    <n v="147.5"/>
    <n v="130.80000000000001"/>
    <n v="122.8"/>
    <n v="129.6"/>
    <n v="383.20000000000005"/>
    <n v="131.1"/>
    <n v="131.1"/>
    <n v="120.8"/>
    <n v="125.6"/>
    <n v="123.1"/>
    <n v="115.6"/>
    <n v="122.4"/>
    <n v="132.80000000000001"/>
    <n v="121.7"/>
    <n v="122.6"/>
    <n v="607.9"/>
    <n v="128.69999999999999"/>
    <s v="2017 March"/>
  </r>
  <r>
    <x v="0"/>
    <x v="6"/>
    <s v="June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738.8000000000002"/>
    <n v="145.80000000000001"/>
    <n v="143.1"/>
    <n v="137.69999999999999"/>
    <n v="142.30000000000001"/>
    <n v="423.09999999999997"/>
    <s v="NA"/>
    <n v="133.6"/>
    <n v="134.80000000000001"/>
    <n v="135.19999999999999"/>
    <n v="131.30000000000001"/>
    <n v="119.4"/>
    <n v="129.80000000000001"/>
    <n v="136.9"/>
    <n v="124.1"/>
    <n v="128.1"/>
    <n v="636.6"/>
    <n v="133.9"/>
    <s v="2017 June"/>
  </r>
  <r>
    <x v="1"/>
    <x v="6"/>
    <s v="June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731.0000000000002"/>
    <n v="148.6"/>
    <n v="131.5"/>
    <n v="123.2"/>
    <n v="130.19999999999999"/>
    <n v="384.9"/>
    <n v="131.4"/>
    <n v="131.4"/>
    <n v="119"/>
    <n v="126.8"/>
    <n v="123.8"/>
    <n v="113.9"/>
    <n v="122.9"/>
    <n v="134.30000000000001"/>
    <n v="122.5"/>
    <n v="122.7"/>
    <n v="608.80000000000007"/>
    <n v="129.9"/>
    <s v="2017 June"/>
  </r>
  <r>
    <x v="0"/>
    <x v="6"/>
    <s v="July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772.9"/>
    <n v="147.4"/>
    <n v="144.30000000000001"/>
    <n v="138.1"/>
    <n v="143.5"/>
    <n v="425.9"/>
    <s v="NA"/>
    <n v="133.6"/>
    <n v="135.30000000000001"/>
    <n v="136.1"/>
    <n v="132.1"/>
    <n v="119.1"/>
    <n v="130.6"/>
    <n v="138.6"/>
    <n v="124.4"/>
    <n v="128.6"/>
    <n v="638.79999999999995"/>
    <n v="136.19999999999999"/>
    <s v="2017 July"/>
  </r>
  <r>
    <x v="1"/>
    <x v="6"/>
    <s v="July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768.1"/>
    <n v="150.5"/>
    <n v="131.6"/>
    <n v="123.7"/>
    <n v="130.4"/>
    <n v="385.70000000000005"/>
    <n v="132.6"/>
    <n v="132.6"/>
    <n v="119.7"/>
    <n v="127.2"/>
    <n v="125"/>
    <n v="113.2"/>
    <n v="123.5"/>
    <n v="135.5"/>
    <n v="122.4"/>
    <n v="123"/>
    <n v="609.29999999999995"/>
    <n v="131.80000000000001"/>
    <s v="2017 July"/>
  </r>
  <r>
    <x v="0"/>
    <x v="6"/>
    <s v="January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737.3000000000002"/>
    <n v="143.1"/>
    <n v="140.69999999999999"/>
    <n v="135.80000000000001"/>
    <n v="140"/>
    <n v="416.5"/>
    <s v="NA"/>
    <n v="133.6"/>
    <n v="132.1"/>
    <n v="133.19999999999999"/>
    <n v="129.9"/>
    <n v="119.1"/>
    <n v="127"/>
    <n v="134.6"/>
    <n v="122.3"/>
    <n v="126.6"/>
    <n v="628.19999999999993"/>
    <n v="132.4"/>
    <s v="2017 January"/>
  </r>
  <r>
    <x v="1"/>
    <x v="6"/>
    <s v="January"/>
    <n v="132.19999999999999"/>
    <n v="138.9"/>
    <n v="132.6"/>
    <n v="133.1"/>
    <n v="114"/>
    <n v="129.6"/>
    <n v="118.7"/>
    <n v="155.1"/>
    <n v="117.3"/>
    <n v="144.9"/>
    <n v="123.2"/>
    <n v="141.6"/>
    <n v="132"/>
    <n v="1713.2"/>
    <n v="145.6"/>
    <n v="130.19999999999999"/>
    <n v="122.3"/>
    <n v="129"/>
    <n v="381.5"/>
    <n v="129.6"/>
    <n v="129.6"/>
    <n v="118"/>
    <n v="125.1"/>
    <n v="122.6"/>
    <n v="115.2"/>
    <n v="122"/>
    <n v="132.4"/>
    <n v="120.9"/>
    <n v="122.1"/>
    <n v="605.30000000000007"/>
    <n v="127.8"/>
    <s v="2017 January"/>
  </r>
  <r>
    <x v="0"/>
    <x v="6"/>
    <s v="February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734.5000000000002"/>
    <n v="143.69999999999999"/>
    <n v="140.9"/>
    <n v="135.80000000000001"/>
    <n v="140.19999999999999"/>
    <n v="416.90000000000003"/>
    <s v="NA"/>
    <n v="133.6"/>
    <n v="133.19999999999999"/>
    <n v="133.6"/>
    <n v="130.1"/>
    <n v="119.5"/>
    <n v="127.7"/>
    <n v="134.9"/>
    <n v="123.2"/>
    <n v="127"/>
    <n v="631"/>
    <n v="132.6"/>
    <s v="2017 February"/>
  </r>
  <r>
    <x v="1"/>
    <x v="6"/>
    <s v="February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705.3000000000002"/>
    <n v="146.30000000000001"/>
    <n v="130.5"/>
    <n v="122.5"/>
    <n v="129.30000000000001"/>
    <n v="382.3"/>
    <n v="130.5"/>
    <n v="130.5"/>
    <n v="119.2"/>
    <n v="125.3"/>
    <n v="122.9"/>
    <n v="115.5"/>
    <n v="122.2"/>
    <n v="132.4"/>
    <n v="121.7"/>
    <n v="122.4"/>
    <n v="607.1"/>
    <n v="128.19999999999999"/>
    <s v="2017 February"/>
  </r>
  <r>
    <x v="0"/>
    <x v="6"/>
    <s v="December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813.6000000000001"/>
    <n v="153.19999999999999"/>
    <n v="148"/>
    <n v="141.9"/>
    <n v="147.19999999999999"/>
    <n v="437.09999999999997"/>
    <s v="NA"/>
    <n v="133.6"/>
    <n v="142.6"/>
    <n v="139.5"/>
    <n v="136.1"/>
    <n v="122"/>
    <n v="133.4"/>
    <n v="141.1"/>
    <n v="127.8"/>
    <n v="131.9"/>
    <n v="654.59999999999991"/>
    <n v="139.80000000000001"/>
    <s v="2017 December"/>
  </r>
  <r>
    <x v="1"/>
    <x v="6"/>
    <s v="December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767.5"/>
    <n v="157"/>
    <n v="135.6"/>
    <n v="125.6"/>
    <n v="134"/>
    <n v="395.2"/>
    <n v="139.1"/>
    <n v="139.1"/>
    <n v="126.8"/>
    <n v="129.30000000000001"/>
    <n v="128.19999999999999"/>
    <n v="115.3"/>
    <n v="125.6"/>
    <n v="136.69999999999999"/>
    <n v="124.6"/>
    <n v="125.1"/>
    <n v="619.90000000000009"/>
    <n v="134.1"/>
    <s v="2017 December"/>
  </r>
  <r>
    <x v="0"/>
    <x v="6"/>
    <s v="August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792.4999999999998"/>
    <n v="149"/>
    <n v="145.30000000000001"/>
    <n v="139.19999999999999"/>
    <n v="144.5"/>
    <n v="429"/>
    <s v="NA"/>
    <n v="133.6"/>
    <n v="136.4"/>
    <n v="137.30000000000001"/>
    <n v="133"/>
    <n v="120.3"/>
    <n v="131.5"/>
    <n v="140.19999999999999"/>
    <n v="125.4"/>
    <n v="129.69999999999999"/>
    <n v="644.20000000000005"/>
    <n v="137.80000000000001"/>
    <s v="2017 August"/>
  </r>
  <r>
    <x v="1"/>
    <x v="6"/>
    <s v="August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772.9999999999998"/>
    <n v="152.1"/>
    <n v="132.69999999999999"/>
    <n v="124.3"/>
    <n v="131.4"/>
    <n v="388.4"/>
    <n v="134.4"/>
    <n v="134.4"/>
    <n v="118.9"/>
    <n v="127.7"/>
    <n v="125.7"/>
    <n v="114.6"/>
    <n v="124.1"/>
    <n v="135.69999999999999"/>
    <n v="123.3"/>
    <n v="123.8"/>
    <n v="613.5"/>
    <n v="132.69999999999999"/>
    <s v="2017 August"/>
  </r>
  <r>
    <x v="0"/>
    <x v="6"/>
    <s v="April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726.3"/>
    <n v="144.4"/>
    <n v="142.4"/>
    <n v="136.80000000000001"/>
    <n v="141.6"/>
    <n v="420.80000000000007"/>
    <s v="NA"/>
    <n v="133.6"/>
    <n v="135"/>
    <n v="134.30000000000001"/>
    <n v="131"/>
    <n v="119.2"/>
    <n v="128.30000000000001"/>
    <n v="135.69999999999999"/>
    <n v="123.7"/>
    <n v="127.5"/>
    <n v="633"/>
    <n v="132.9"/>
    <s v="2017 April"/>
  </r>
  <r>
    <x v="1"/>
    <x v="6"/>
    <s v="April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708.1"/>
    <n v="148"/>
    <n v="131.19999999999999"/>
    <n v="123"/>
    <n v="130"/>
    <n v="384.2"/>
    <n v="131.69999999999999"/>
    <n v="131.69999999999999"/>
    <n v="121.4"/>
    <n v="126"/>
    <n v="123.4"/>
    <n v="114.3"/>
    <n v="122.6"/>
    <n v="133.6"/>
    <n v="122.2"/>
    <n v="122.5"/>
    <n v="607.59999999999991"/>
    <n v="129.1"/>
    <s v="2017 April"/>
  </r>
  <r>
    <x v="2"/>
    <x v="7"/>
    <s v="September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763.6999999999998"/>
    <n v="141"/>
    <n v="134.6"/>
    <n v="128.6"/>
    <n v="133.80000000000001"/>
    <n v="397"/>
    <n v="127.9"/>
    <n v="127.9"/>
    <n v="124.1"/>
    <n v="127.9"/>
    <n v="125.4"/>
    <n v="114.3"/>
    <n v="122.9"/>
    <n v="131.80000000000001"/>
    <n v="122.1"/>
    <n v="122.8"/>
    <n v="610"/>
    <n v="130.9"/>
    <s v="2016 September"/>
  </r>
  <r>
    <x v="2"/>
    <x v="7"/>
    <s v="October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766.7999999999995"/>
    <n v="141.80000000000001"/>
    <n v="135.5"/>
    <n v="129.1"/>
    <n v="134.5"/>
    <n v="399.1"/>
    <n v="128.69999999999999"/>
    <n v="128.69999999999999"/>
    <n v="124.3"/>
    <n v="128.4"/>
    <n v="126.1"/>
    <n v="115.2"/>
    <n v="123.5"/>
    <n v="132.4"/>
    <n v="122.1"/>
    <n v="123.4"/>
    <n v="612.6"/>
    <n v="131.4"/>
    <s v="2016 October"/>
  </r>
  <r>
    <x v="2"/>
    <x v="7"/>
    <s v="November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759.8"/>
    <n v="142"/>
    <n v="135.80000000000001"/>
    <n v="129.30000000000001"/>
    <n v="135"/>
    <n v="400.1"/>
    <n v="129.1"/>
    <n v="129.1"/>
    <n v="125"/>
    <n v="128.6"/>
    <n v="126.4"/>
    <n v="115.7"/>
    <n v="124"/>
    <n v="132.80000000000001"/>
    <n v="122.6"/>
    <n v="123.8"/>
    <n v="614.69999999999993"/>
    <n v="131.19999999999999"/>
    <s v="2016 November"/>
  </r>
  <r>
    <x v="2"/>
    <x v="7"/>
    <s v="May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730.4"/>
    <n v="137.69999999999999"/>
    <n v="132.19999999999999"/>
    <n v="126.8"/>
    <n v="131.4"/>
    <n v="390.4"/>
    <n v="126"/>
    <n v="126"/>
    <n v="122.7"/>
    <n v="126"/>
    <n v="123.7"/>
    <n v="112.8"/>
    <n v="121.5"/>
    <n v="128.5"/>
    <n v="119.2"/>
    <n v="120.7"/>
    <n v="600.20000000000005"/>
    <n v="128.6"/>
    <s v="2016 May"/>
  </r>
  <r>
    <x v="2"/>
    <x v="7"/>
    <s v="March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675.2"/>
    <n v="136.5"/>
    <n v="131.30000000000001"/>
    <n v="126.1"/>
    <n v="130.5"/>
    <n v="387.9"/>
    <n v="124.9"/>
    <n v="124.9"/>
    <n v="122.4"/>
    <n v="125.1"/>
    <n v="122.9"/>
    <n v="110.9"/>
    <n v="120.6"/>
    <n v="126.9"/>
    <n v="117.3"/>
    <n v="119.3"/>
    <n v="593.20000000000005"/>
    <n v="126"/>
    <s v="2016 March"/>
  </r>
  <r>
    <x v="2"/>
    <x v="7"/>
    <s v="June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760.6"/>
    <n v="138.69999999999999"/>
    <n v="132.9"/>
    <n v="127.2"/>
    <n v="132"/>
    <n v="392.1"/>
    <n v="125.5"/>
    <n v="125.5"/>
    <n v="123.3"/>
    <n v="126.4"/>
    <n v="124.1"/>
    <n v="114.2"/>
    <n v="121.7"/>
    <n v="129.69999999999999"/>
    <n v="119.4"/>
    <n v="121.5"/>
    <n v="603.20000000000005"/>
    <n v="130.1"/>
    <s v="2016 June"/>
  </r>
  <r>
    <x v="2"/>
    <x v="7"/>
    <s v="July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783.5"/>
    <n v="139.30000000000001"/>
    <n v="133.5"/>
    <n v="127.6"/>
    <n v="132.69999999999999"/>
    <n v="393.8"/>
    <n v="126.4"/>
    <n v="126.4"/>
    <n v="123.4"/>
    <n v="126.9"/>
    <n v="124.5"/>
    <n v="113.9"/>
    <n v="122.4"/>
    <n v="130.80000000000001"/>
    <n v="120.5"/>
    <n v="121.9"/>
    <n v="605.6"/>
    <n v="131.1"/>
    <s v="2016 July"/>
  </r>
  <r>
    <x v="2"/>
    <x v="7"/>
    <s v="January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691.7"/>
    <n v="135.19999999999999"/>
    <n v="130.30000000000001"/>
    <n v="125.1"/>
    <n v="129.5"/>
    <n v="384.9"/>
    <n v="123.4"/>
    <n v="123.4"/>
    <n v="122.7"/>
    <n v="124.2"/>
    <n v="122"/>
    <n v="111.1"/>
    <n v="119.8"/>
    <n v="126.3"/>
    <n v="114.5"/>
    <n v="118.5"/>
    <n v="588.1"/>
    <n v="126.3"/>
    <s v="2016 January"/>
  </r>
  <r>
    <x v="2"/>
    <x v="7"/>
    <s v="February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678.1"/>
    <n v="135.9"/>
    <n v="130.9"/>
    <n v="125.8"/>
    <n v="130.19999999999999"/>
    <n v="386.9"/>
    <n v="124.4"/>
    <n v="124.4"/>
    <n v="123.1"/>
    <n v="124.6"/>
    <n v="122.5"/>
    <n v="111.4"/>
    <n v="120.3"/>
    <n v="126.6"/>
    <n v="116.6"/>
    <n v="119.1"/>
    <n v="592"/>
    <n v="126"/>
    <s v="2016 February"/>
  </r>
  <r>
    <x v="2"/>
    <x v="7"/>
    <s v="December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740.7"/>
    <n v="143.1"/>
    <n v="136.30000000000001"/>
    <n v="129.80000000000001"/>
    <n v="135.4"/>
    <n v="401.5"/>
    <n v="128.5"/>
    <n v="128.5"/>
    <n v="126.6"/>
    <n v="129.19999999999999"/>
    <n v="126.9"/>
    <n v="116"/>
    <n v="124.2"/>
    <n v="133.1"/>
    <n v="121.1"/>
    <n v="123.9"/>
    <n v="614.4"/>
    <n v="130.4"/>
    <s v="2016 December"/>
  </r>
  <r>
    <x v="2"/>
    <x v="7"/>
    <s v="August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777.9"/>
    <n v="140.19999999999999"/>
    <n v="134.1"/>
    <n v="128.19999999999999"/>
    <n v="133.19999999999999"/>
    <n v="395.49999999999994"/>
    <n v="127.3"/>
    <n v="127.3"/>
    <n v="123.6"/>
    <n v="127.4"/>
    <n v="124.8"/>
    <n v="113.1"/>
    <n v="122.7"/>
    <n v="131.69999999999999"/>
    <n v="121.5"/>
    <n v="122.1"/>
    <n v="606.79999999999995"/>
    <n v="131.1"/>
    <s v="2016 August"/>
  </r>
  <r>
    <x v="2"/>
    <x v="7"/>
    <s v="April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701.3"/>
    <n v="137.1"/>
    <n v="131.80000000000001"/>
    <n v="126.4"/>
    <n v="131"/>
    <n v="389.20000000000005"/>
    <n v="125.6"/>
    <n v="125.6"/>
    <n v="122.3"/>
    <n v="125.5"/>
    <n v="123.2"/>
    <n v="112.1"/>
    <n v="121.1"/>
    <n v="127.7"/>
    <n v="118.1"/>
    <n v="120"/>
    <n v="596.79999999999995"/>
    <n v="127.3"/>
    <s v="2016 April"/>
  </r>
  <r>
    <x v="0"/>
    <x v="7"/>
    <s v="September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770.7"/>
    <n v="139.9"/>
    <n v="138.5"/>
    <n v="133.5"/>
    <n v="137.80000000000001"/>
    <n v="409.8"/>
    <s v="NA"/>
    <n v="126.5"/>
    <n v="129.69999999999999"/>
    <n v="131.1"/>
    <n v="127.8"/>
    <n v="117"/>
    <n v="125.7"/>
    <n v="132.19999999999999"/>
    <n v="122.8"/>
    <n v="124.9"/>
    <n v="621.5"/>
    <n v="133.4"/>
    <s v="2016 September"/>
  </r>
  <r>
    <x v="1"/>
    <x v="7"/>
    <s v="September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756.3999999999996"/>
    <n v="143.9"/>
    <n v="128.69999999999999"/>
    <n v="121.6"/>
    <n v="127.7"/>
    <n v="378"/>
    <n v="127.9"/>
    <n v="127.9"/>
    <n v="114.8"/>
    <n v="124.3"/>
    <n v="121.4"/>
    <n v="111.8"/>
    <n v="120.8"/>
    <n v="131.6"/>
    <n v="121.2"/>
    <n v="120.5"/>
    <n v="598.59999999999991"/>
    <n v="128"/>
    <s v="2016 September"/>
  </r>
  <r>
    <x v="0"/>
    <x v="7"/>
    <s v="October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771.8000000000002"/>
    <n v="140.9"/>
    <n v="139.6"/>
    <n v="134.30000000000001"/>
    <n v="138.80000000000001"/>
    <n v="412.7"/>
    <s v="NA"/>
    <n v="126.5"/>
    <n v="129.80000000000001"/>
    <n v="131.80000000000001"/>
    <n v="128.69999999999999"/>
    <n v="117.8"/>
    <n v="126.5"/>
    <n v="133"/>
    <n v="123"/>
    <n v="125.7"/>
    <n v="624.80000000000007"/>
    <n v="133.80000000000001"/>
    <s v="2016 October"/>
  </r>
  <r>
    <x v="1"/>
    <x v="7"/>
    <s v="October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762.8999999999999"/>
    <n v="144.30000000000001"/>
    <n v="129.1"/>
    <n v="121.9"/>
    <n v="128"/>
    <n v="379"/>
    <n v="128.69999999999999"/>
    <n v="128.69999999999999"/>
    <n v="115.2"/>
    <n v="124.5"/>
    <n v="121.8"/>
    <n v="112.8"/>
    <n v="121.2"/>
    <n v="131.9"/>
    <n v="120.8"/>
    <n v="120.9"/>
    <n v="600.20000000000005"/>
    <n v="128.6"/>
    <s v="2016 October"/>
  </r>
  <r>
    <x v="0"/>
    <x v="7"/>
    <s v="November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764.6"/>
    <n v="141.19999999999999"/>
    <n v="139.9"/>
    <n v="134.5"/>
    <n v="139.19999999999999"/>
    <n v="413.59999999999997"/>
    <s v="NA"/>
    <n v="126.5"/>
    <n v="130.30000000000001"/>
    <n v="132.1"/>
    <n v="129.1"/>
    <n v="118.2"/>
    <n v="126.9"/>
    <n v="133.69999999999999"/>
    <n v="123.5"/>
    <n v="126.1"/>
    <n v="626.80000000000007"/>
    <n v="133.6"/>
    <s v="2016 November"/>
  </r>
  <r>
    <x v="1"/>
    <x v="7"/>
    <s v="November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755.2"/>
    <n v="144.30000000000001"/>
    <n v="129.6"/>
    <n v="122.1"/>
    <n v="128.5"/>
    <n v="380.2"/>
    <n v="129.1"/>
    <n v="129.1"/>
    <n v="116.2"/>
    <n v="124.7"/>
    <n v="122.1"/>
    <n v="113.4"/>
    <n v="121.7"/>
    <n v="132.1"/>
    <n v="121.3"/>
    <n v="121.3"/>
    <n v="602.4"/>
    <n v="128.5"/>
    <s v="2016 November"/>
  </r>
  <r>
    <x v="0"/>
    <x v="7"/>
    <s v="May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723.6999999999998"/>
    <n v="136"/>
    <n v="135.4"/>
    <n v="131.1"/>
    <n v="134.80000000000001"/>
    <n v="401.3"/>
    <s v="NA"/>
    <n v="126.5"/>
    <n v="127.4"/>
    <n v="128.5"/>
    <n v="125.8"/>
    <n v="115.1"/>
    <n v="123.6"/>
    <n v="129.1"/>
    <n v="119.7"/>
    <n v="122.5"/>
    <n v="609.4"/>
    <n v="130.30000000000001"/>
    <s v="2016 May"/>
  </r>
  <r>
    <x v="1"/>
    <x v="7"/>
    <s v="May"/>
    <n v="125"/>
    <n v="142.1"/>
    <n v="127"/>
    <n v="130.4"/>
    <n v="109.6"/>
    <n v="133.5"/>
    <n v="151.4"/>
    <n v="182.8"/>
    <n v="111.1"/>
    <n v="141.5"/>
    <n v="121.5"/>
    <n v="136.30000000000001"/>
    <n v="134.6"/>
    <n v="1746.7999999999997"/>
    <n v="142.19999999999999"/>
    <n v="127.2"/>
    <n v="120.7"/>
    <n v="126.2"/>
    <n v="374.1"/>
    <n v="126"/>
    <n v="126"/>
    <n v="115"/>
    <n v="123.2"/>
    <n v="120.3"/>
    <n v="110.7"/>
    <n v="119.8"/>
    <n v="128"/>
    <n v="118.5"/>
    <n v="118.7"/>
    <n v="590.9"/>
    <n v="126.6"/>
    <s v="2016 May"/>
  </r>
  <r>
    <x v="0"/>
    <x v="7"/>
    <s v="March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682.7000000000003"/>
    <n v="135"/>
    <n v="134.4"/>
    <n v="130.19999999999999"/>
    <n v="133.80000000000001"/>
    <n v="398.40000000000003"/>
    <s v="NA"/>
    <n v="126.5"/>
    <n v="127"/>
    <n v="127.7"/>
    <n v="124.8"/>
    <n v="113.6"/>
    <n v="122.5"/>
    <n v="127.5"/>
    <n v="117.4"/>
    <n v="121.1"/>
    <n v="602.30000000000007"/>
    <n v="128"/>
    <s v="2016 March"/>
  </r>
  <r>
    <x v="1"/>
    <x v="7"/>
    <s v="March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667.6000000000001"/>
    <n v="140.6"/>
    <n v="126.4"/>
    <n v="120.3"/>
    <n v="125.5"/>
    <n v="372.2"/>
    <n v="124.9"/>
    <n v="124.9"/>
    <n v="114.8"/>
    <n v="122.3"/>
    <n v="119.7"/>
    <n v="108.5"/>
    <n v="119.1"/>
    <n v="126.4"/>
    <n v="117.1"/>
    <n v="117.3"/>
    <n v="584.29999999999995"/>
    <n v="123.8"/>
    <s v="2016 March"/>
  </r>
  <r>
    <x v="0"/>
    <x v="7"/>
    <s v="June"/>
    <n v="128.6"/>
    <n v="138.6"/>
    <n v="126.6"/>
    <n v="133.6"/>
    <n v="118.6"/>
    <n v="137.4"/>
    <n v="152.5"/>
    <n v="169.2"/>
    <n v="108.8"/>
    <n v="133.1"/>
    <n v="126.4"/>
    <n v="139.19999999999999"/>
    <n v="136"/>
    <n v="1748.6"/>
    <n v="137.19999999999999"/>
    <n v="136.30000000000001"/>
    <n v="131.6"/>
    <n v="135.6"/>
    <n v="403.5"/>
    <s v="NA"/>
    <n v="126.5"/>
    <n v="128"/>
    <n v="129.30000000000001"/>
    <n v="126.2"/>
    <n v="116.3"/>
    <n v="124.1"/>
    <n v="130.19999999999999"/>
    <n v="119.9"/>
    <n v="123.3"/>
    <n v="612.9"/>
    <n v="131.9"/>
    <s v="2016 June"/>
  </r>
  <r>
    <x v="1"/>
    <x v="7"/>
    <s v="June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787.0000000000002"/>
    <n v="142.69999999999999"/>
    <n v="127.6"/>
    <n v="121.1"/>
    <n v="126.6"/>
    <n v="375.29999999999995"/>
    <n v="125.5"/>
    <n v="125.5"/>
    <n v="115.5"/>
    <n v="123.2"/>
    <n v="120.6"/>
    <n v="112.3"/>
    <n v="119.9"/>
    <n v="129.30000000000001"/>
    <n v="118.8"/>
    <n v="119.6"/>
    <n v="593.79999999999995"/>
    <n v="128.1"/>
    <s v="2016 June"/>
  </r>
  <r>
    <x v="0"/>
    <x v="7"/>
    <s v="July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770.2999999999997"/>
    <n v="138"/>
    <n v="137.19999999999999"/>
    <n v="132.19999999999999"/>
    <n v="136.5"/>
    <n v="405.9"/>
    <s v="NA"/>
    <n v="126.5"/>
    <n v="128.19999999999999"/>
    <n v="130"/>
    <n v="126.7"/>
    <n v="116.4"/>
    <n v="125.2"/>
    <n v="130.80000000000001"/>
    <n v="120.9"/>
    <n v="123.8"/>
    <n v="616.29999999999995"/>
    <n v="133"/>
    <s v="2016 July"/>
  </r>
  <r>
    <x v="1"/>
    <x v="7"/>
    <s v="July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811.5000000000002"/>
    <n v="142.9"/>
    <n v="127.9"/>
    <n v="121.1"/>
    <n v="126.9"/>
    <n v="375.9"/>
    <n v="126.4"/>
    <n v="126.4"/>
    <n v="115.5"/>
    <n v="123.5"/>
    <n v="120.9"/>
    <n v="111.7"/>
    <n v="120.3"/>
    <n v="130.80000000000001"/>
    <n v="120"/>
    <n v="119.9"/>
    <n v="595.4"/>
    <n v="129"/>
    <s v="2016 July"/>
  </r>
  <r>
    <x v="0"/>
    <x v="7"/>
    <s v="January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690.1000000000001"/>
    <n v="133.6"/>
    <n v="133.19999999999999"/>
    <n v="128.9"/>
    <n v="132.6"/>
    <n v="394.70000000000005"/>
    <s v="NA"/>
    <n v="126.5"/>
    <n v="126.2"/>
    <n v="126.6"/>
    <n v="123.7"/>
    <n v="113.6"/>
    <n v="121.4"/>
    <n v="126.2"/>
    <n v="114.9"/>
    <n v="120.1"/>
    <n v="596.6"/>
    <n v="128.1"/>
    <s v="2016 January"/>
  </r>
  <r>
    <x v="1"/>
    <x v="7"/>
    <s v="January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701.4"/>
    <n v="139.5"/>
    <n v="125.8"/>
    <n v="119.8"/>
    <n v="124.9"/>
    <n v="370.5"/>
    <n v="123.4"/>
    <n v="123.4"/>
    <n v="116.9"/>
    <n v="121.6"/>
    <n v="119.1"/>
    <n v="108.9"/>
    <n v="118.5"/>
    <n v="126.4"/>
    <n v="114"/>
    <n v="116.8"/>
    <n v="579.79999999999995"/>
    <n v="124.2"/>
    <s v="2016 January"/>
  </r>
  <r>
    <x v="0"/>
    <x v="7"/>
    <s v="February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682.6"/>
    <n v="134.4"/>
    <n v="133.9"/>
    <n v="129.80000000000001"/>
    <n v="133.4"/>
    <n v="397.1"/>
    <s v="NA"/>
    <n v="126.5"/>
    <n v="127.5"/>
    <n v="127.1"/>
    <n v="124.3"/>
    <n v="113.9"/>
    <n v="122.3"/>
    <n v="127.1"/>
    <n v="116.8"/>
    <n v="120.9"/>
    <n v="601"/>
    <n v="127.9"/>
    <s v="2016 February"/>
  </r>
  <r>
    <x v="1"/>
    <x v="7"/>
    <s v="February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676.1"/>
    <n v="140"/>
    <n v="126.2"/>
    <n v="120.1"/>
    <n v="125.3"/>
    <n v="371.6"/>
    <n v="124.4"/>
    <n v="124.4"/>
    <n v="116"/>
    <n v="121.8"/>
    <n v="119.5"/>
    <n v="109.1"/>
    <n v="118.8"/>
    <n v="126.3"/>
    <n v="116.2"/>
    <n v="117.2"/>
    <n v="583.1"/>
    <n v="123.8"/>
    <s v="2016 February"/>
  </r>
  <r>
    <x v="0"/>
    <x v="7"/>
    <s v="December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749.1"/>
    <n v="142.4"/>
    <n v="140.4"/>
    <n v="135.19999999999999"/>
    <n v="139.69999999999999"/>
    <n v="415.3"/>
    <s v="NA"/>
    <n v="126.5"/>
    <n v="132"/>
    <n v="132.9"/>
    <n v="129.69999999999999"/>
    <n v="118.6"/>
    <n v="127.3"/>
    <n v="134.19999999999999"/>
    <n v="121.9"/>
    <n v="126.3"/>
    <n v="627"/>
    <n v="132.80000000000001"/>
    <s v="2016 December"/>
  </r>
  <r>
    <x v="1"/>
    <x v="7"/>
    <s v="December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729.8"/>
    <n v="145"/>
    <n v="130"/>
    <n v="122.2"/>
    <n v="128.80000000000001"/>
    <n v="381"/>
    <n v="128.5"/>
    <n v="128.5"/>
    <n v="117.8"/>
    <n v="125"/>
    <n v="122.3"/>
    <n v="113.7"/>
    <n v="121.8"/>
    <n v="132.30000000000001"/>
    <n v="119.9"/>
    <n v="121.4"/>
    <n v="601.79999999999995"/>
    <n v="127.6"/>
    <s v="2016 December"/>
  </r>
  <r>
    <x v="0"/>
    <x v="7"/>
    <s v="August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777.4999999999998"/>
    <n v="138.9"/>
    <n v="137.80000000000001"/>
    <n v="133"/>
    <n v="137.1"/>
    <n v="407.9"/>
    <s v="NA"/>
    <n v="126.5"/>
    <n v="129.1"/>
    <n v="130.6"/>
    <n v="127"/>
    <n v="116"/>
    <n v="125.5"/>
    <n v="131.9"/>
    <n v="122"/>
    <n v="124.2"/>
    <n v="618.30000000000007"/>
    <n v="133.5"/>
    <s v="2016 August"/>
  </r>
  <r>
    <x v="1"/>
    <x v="7"/>
    <s v="August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783.9999999999995"/>
    <n v="143.6"/>
    <n v="128.30000000000001"/>
    <n v="121.4"/>
    <n v="127.3"/>
    <n v="377"/>
    <n v="127.3"/>
    <n v="127.3"/>
    <n v="114.7"/>
    <n v="123.9"/>
    <n v="121.2"/>
    <n v="110.4"/>
    <n v="120.6"/>
    <n v="131.5"/>
    <n v="120.9"/>
    <n v="119.9"/>
    <n v="595.69999999999993"/>
    <n v="128.4"/>
    <s v="2016 August"/>
  </r>
  <r>
    <x v="0"/>
    <x v="7"/>
    <s v="April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701.6000000000004"/>
    <n v="135.5"/>
    <n v="135"/>
    <n v="130.6"/>
    <n v="134.4"/>
    <n v="400"/>
    <s v="NA"/>
    <n v="126.5"/>
    <n v="127"/>
    <n v="128"/>
    <n v="125.2"/>
    <n v="114.4"/>
    <n v="123.2"/>
    <n v="127.9"/>
    <n v="118.4"/>
    <n v="121.7"/>
    <n v="605.70000000000005"/>
    <n v="129"/>
    <s v="2016 April"/>
  </r>
  <r>
    <x v="1"/>
    <x v="7"/>
    <s v="April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706.3"/>
    <n v="141.5"/>
    <n v="126.8"/>
    <n v="120.5"/>
    <n v="125.8"/>
    <n v="373.1"/>
    <n v="125.6"/>
    <n v="125.6"/>
    <n v="114.6"/>
    <n v="122.8"/>
    <n v="120"/>
    <n v="110"/>
    <n v="119.5"/>
    <n v="127.6"/>
    <n v="117.6"/>
    <n v="118.2"/>
    <n v="588.1"/>
    <n v="125.3"/>
    <s v="2016 April"/>
  </r>
  <r>
    <x v="0"/>
    <x v="8"/>
    <s v="September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657.6000000000001"/>
    <n v="131"/>
    <n v="130.4"/>
    <n v="126.8"/>
    <n v="129.9"/>
    <n v="387.1"/>
    <s v="NA"/>
    <n v="120.1"/>
    <n v="123.7"/>
    <n v="124.5"/>
    <n v="121.4"/>
    <n v="113.8"/>
    <n v="119.6"/>
    <n v="124.5"/>
    <n v="113.7"/>
    <n v="118.8"/>
    <n v="590.4"/>
    <n v="127"/>
    <s v="2015 September"/>
  </r>
  <r>
    <x v="1"/>
    <x v="8"/>
    <s v="September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664.8"/>
    <n v="134.69999999999999"/>
    <n v="124"/>
    <n v="118.6"/>
    <n v="123.2"/>
    <n v="365.8"/>
    <n v="121.6"/>
    <n v="121.6"/>
    <n v="115.1"/>
    <n v="120.4"/>
    <n v="117.1"/>
    <n v="109.1"/>
    <n v="117.3"/>
    <n v="126.5"/>
    <n v="112.9"/>
    <n v="116.2"/>
    <n v="575.90000000000009"/>
    <n v="123.5"/>
    <s v="2015 September"/>
  </r>
  <r>
    <x v="2"/>
    <x v="8"/>
    <s v="September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658.3000000000002"/>
    <n v="132"/>
    <n v="127.9"/>
    <n v="123.4"/>
    <n v="127.2"/>
    <n v="378.5"/>
    <n v="121.6"/>
    <n v="121.6"/>
    <n v="120.4"/>
    <n v="122.6"/>
    <n v="119.8"/>
    <n v="111.3"/>
    <n v="118.3"/>
    <n v="125.7"/>
    <n v="113.4"/>
    <n v="117.5"/>
    <n v="583.1"/>
    <n v="125.4"/>
    <s v="2015 September"/>
  </r>
  <r>
    <x v="0"/>
    <x v="8"/>
    <s v="October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674.6"/>
    <n v="131.5"/>
    <n v="131.1"/>
    <n v="127.3"/>
    <n v="130.6"/>
    <n v="389"/>
    <s v="NA"/>
    <n v="120.1"/>
    <n v="124.4"/>
    <n v="125.1"/>
    <n v="122"/>
    <n v="113.8"/>
    <n v="120.1"/>
    <n v="125.1"/>
    <n v="114.2"/>
    <n v="119.2"/>
    <n v="592.4"/>
    <n v="127.7"/>
    <s v="2015 October"/>
  </r>
  <r>
    <x v="1"/>
    <x v="8"/>
    <s v="October"/>
    <n v="123.6"/>
    <n v="128.6"/>
    <n v="115.9"/>
    <n v="128.5"/>
    <n v="109"/>
    <n v="124.1"/>
    <n v="165.8"/>
    <n v="187.2"/>
    <n v="89.4"/>
    <n v="135.80000000000001"/>
    <n v="119.4"/>
    <n v="132.9"/>
    <n v="132.6"/>
    <n v="1692.8000000000002"/>
    <n v="135.30000000000001"/>
    <n v="124.4"/>
    <n v="118.8"/>
    <n v="123.6"/>
    <n v="366.79999999999995"/>
    <n v="122.4"/>
    <n v="122.4"/>
    <n v="114.9"/>
    <n v="120.7"/>
    <n v="117.7"/>
    <n v="109.3"/>
    <n v="117.7"/>
    <n v="126.5"/>
    <n v="113.5"/>
    <n v="116.5"/>
    <n v="577.70000000000005"/>
    <n v="124.2"/>
    <s v="2015 October"/>
  </r>
  <r>
    <x v="2"/>
    <x v="8"/>
    <s v="October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678.9999999999998"/>
    <n v="132.5"/>
    <n v="128.5"/>
    <n v="123.8"/>
    <n v="127.8"/>
    <n v="380.1"/>
    <n v="122.4"/>
    <n v="122.4"/>
    <n v="120.8"/>
    <n v="123"/>
    <n v="120.4"/>
    <n v="111.4"/>
    <n v="118.7"/>
    <n v="125.9"/>
    <n v="113.9"/>
    <n v="117.9"/>
    <n v="584.9"/>
    <n v="126.1"/>
    <s v="2015 October"/>
  </r>
  <r>
    <x v="0"/>
    <x v="8"/>
    <s v="November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686.3"/>
    <n v="132.19999999999999"/>
    <n v="132.1"/>
    <n v="128.19999999999999"/>
    <n v="131.5"/>
    <n v="391.79999999999995"/>
    <s v="NA"/>
    <n v="120.1"/>
    <n v="125.6"/>
    <n v="125.6"/>
    <n v="122.6"/>
    <n v="114"/>
    <n v="120.9"/>
    <n v="125.8"/>
    <n v="114.2"/>
    <n v="119.6"/>
    <n v="594.29999999999995"/>
    <n v="128.30000000000001"/>
    <s v="2015 November"/>
  </r>
  <r>
    <x v="1"/>
    <x v="8"/>
    <s v="November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708.4999999999998"/>
    <n v="137.6"/>
    <n v="125"/>
    <n v="119.3"/>
    <n v="124.2"/>
    <n v="368.5"/>
    <n v="122.9"/>
    <n v="122.9"/>
    <n v="115.1"/>
    <n v="121"/>
    <n v="118.1"/>
    <n v="109.3"/>
    <n v="117.9"/>
    <n v="126.6"/>
    <n v="113.3"/>
    <n v="116.6"/>
    <n v="578.1"/>
    <n v="124.6"/>
    <s v="2015 November"/>
  </r>
  <r>
    <x v="2"/>
    <x v="8"/>
    <s v="November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692.1"/>
    <n v="133.6"/>
    <n v="129.30000000000001"/>
    <n v="124.5"/>
    <n v="128.6"/>
    <n v="382.4"/>
    <n v="122.9"/>
    <n v="122.9"/>
    <n v="121.6"/>
    <n v="123.4"/>
    <n v="120.9"/>
    <n v="111.5"/>
    <n v="119.2"/>
    <n v="126.3"/>
    <n v="113.8"/>
    <n v="118.1"/>
    <n v="586"/>
    <n v="126.6"/>
    <s v="2015 November"/>
  </r>
  <r>
    <x v="0"/>
    <x v="8"/>
    <s v="May"/>
    <n v="123.5"/>
    <n v="127.1"/>
    <n v="117.3"/>
    <n v="127.7"/>
    <n v="112.5"/>
    <n v="134.1"/>
    <n v="128.5"/>
    <n v="124.3"/>
    <n v="97.6"/>
    <n v="120.7"/>
    <n v="120.2"/>
    <n v="129.80000000000001"/>
    <n v="124.4"/>
    <n v="1587.7"/>
    <n v="126.7"/>
    <n v="127.3"/>
    <n v="124.1"/>
    <n v="126.8"/>
    <n v="378.2"/>
    <s v="NA"/>
    <n v="120.1"/>
    <n v="121.9"/>
    <n v="121.5"/>
    <n v="119.4"/>
    <n v="113.3"/>
    <n v="116.7"/>
    <n v="120.5"/>
    <n v="112.3"/>
    <n v="116.9"/>
    <n v="580.70000000000005"/>
    <n v="122.4"/>
    <s v="2015 May"/>
  </r>
  <r>
    <x v="1"/>
    <x v="8"/>
    <s v="May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598.9"/>
    <n v="131.30000000000001"/>
    <n v="122.4"/>
    <n v="117.4"/>
    <n v="121.6"/>
    <n v="361.4"/>
    <n v="119.6"/>
    <n v="119.6"/>
    <n v="114.9"/>
    <n v="118.7"/>
    <n v="114.9"/>
    <n v="110.8"/>
    <n v="116"/>
    <n v="122"/>
    <n v="112.4"/>
    <n v="115.2"/>
    <n v="573.1"/>
    <n v="120.7"/>
    <s v="2015 May"/>
  </r>
  <r>
    <x v="2"/>
    <x v="8"/>
    <s v="May"/>
    <n v="123.6"/>
    <n v="128"/>
    <n v="115"/>
    <n v="127.3"/>
    <n v="109.8"/>
    <n v="132.6"/>
    <n v="130.9"/>
    <n v="130.5"/>
    <n v="95.3"/>
    <n v="123.4"/>
    <n v="119.2"/>
    <n v="129.80000000000001"/>
    <n v="125"/>
    <n v="1590.4"/>
    <n v="127.9"/>
    <n v="125.4"/>
    <n v="121.3"/>
    <n v="124.7"/>
    <n v="371.4"/>
    <n v="119.6"/>
    <n v="119.6"/>
    <n v="119.2"/>
    <n v="120.2"/>
    <n v="117.7"/>
    <n v="112"/>
    <n v="116.3"/>
    <n v="121.4"/>
    <n v="112.3"/>
    <n v="116.1"/>
    <n v="576.9"/>
    <n v="121.6"/>
    <s v="2015 May"/>
  </r>
  <r>
    <x v="0"/>
    <x v="8"/>
    <s v="March"/>
    <n v="123.3"/>
    <n v="124.7"/>
    <n v="118.9"/>
    <n v="126"/>
    <n v="111.8"/>
    <n v="130.9"/>
    <n v="128"/>
    <n v="119.9"/>
    <n v="98.9"/>
    <n v="119.4"/>
    <n v="118.9"/>
    <n v="127.7"/>
    <n v="123.1"/>
    <n v="1571.5"/>
    <n v="124.7"/>
    <n v="126"/>
    <n v="122.9"/>
    <n v="125.5"/>
    <n v="374.4"/>
    <s v="NA"/>
    <n v="120.1"/>
    <n v="120.6"/>
    <n v="120.2"/>
    <n v="118.2"/>
    <n v="111.6"/>
    <n v="115.5"/>
    <n v="119.4"/>
    <n v="110.8"/>
    <n v="115.5"/>
    <n v="573.6"/>
    <n v="121.1"/>
    <s v="2015 March"/>
  </r>
  <r>
    <x v="1"/>
    <x v="8"/>
    <s v="March"/>
    <n v="124"/>
    <n v="126.7"/>
    <n v="113.5"/>
    <n v="125.9"/>
    <n v="104.8"/>
    <n v="123.8"/>
    <n v="131.4"/>
    <n v="127.2"/>
    <n v="93.2"/>
    <n v="127.4"/>
    <n v="117"/>
    <n v="129.19999999999999"/>
    <n v="123.9"/>
    <n v="1568.0000000000002"/>
    <n v="128.80000000000001"/>
    <n v="121.7"/>
    <n v="116.9"/>
    <n v="120.9"/>
    <n v="359.5"/>
    <n v="118.6"/>
    <n v="118.6"/>
    <n v="114.4"/>
    <n v="118"/>
    <n v="114.3"/>
    <n v="108.4"/>
    <n v="115.4"/>
    <n v="120.6"/>
    <n v="111.3"/>
    <n v="113.8"/>
    <n v="566.9"/>
    <n v="119.1"/>
    <s v="2015 March"/>
  </r>
  <r>
    <x v="2"/>
    <x v="8"/>
    <s v="March"/>
    <n v="123.5"/>
    <n v="125.4"/>
    <n v="116.8"/>
    <n v="126"/>
    <n v="109.2"/>
    <n v="127.6"/>
    <n v="129.19999999999999"/>
    <n v="122.4"/>
    <n v="97"/>
    <n v="122.1"/>
    <n v="118.1"/>
    <n v="128.4"/>
    <n v="123.4"/>
    <n v="1569.1"/>
    <n v="125.8"/>
    <n v="124.3"/>
    <n v="120.4"/>
    <n v="123.7"/>
    <n v="368.4"/>
    <n v="118.6"/>
    <n v="118.6"/>
    <n v="118.3"/>
    <n v="119.2"/>
    <n v="116.7"/>
    <n v="109.9"/>
    <n v="115.4"/>
    <n v="120.1"/>
    <n v="111"/>
    <n v="114.7"/>
    <n v="570.20000000000005"/>
    <n v="120.2"/>
    <s v="2015 March"/>
  </r>
  <r>
    <x v="0"/>
    <x v="8"/>
    <s v="June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617.8999999999999"/>
    <n v="128.19999999999999"/>
    <n v="128.4"/>
    <n v="125.1"/>
    <n v="128"/>
    <n v="381.5"/>
    <s v="NA"/>
    <n v="120.1"/>
    <n v="122.6"/>
    <n v="122.8"/>
    <n v="120.4"/>
    <n v="114.2"/>
    <n v="117.9"/>
    <n v="122"/>
    <n v="113"/>
    <n v="117.9"/>
    <n v="585.79999999999995"/>
    <n v="124.1"/>
    <s v="2015 June"/>
  </r>
  <r>
    <x v="1"/>
    <x v="8"/>
    <s v="June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636.6"/>
    <n v="132.1"/>
    <n v="123.2"/>
    <n v="117.6"/>
    <n v="122.3"/>
    <n v="363.1"/>
    <n v="119"/>
    <n v="119"/>
    <n v="115.1"/>
    <n v="119.2"/>
    <n v="115.4"/>
    <n v="111.7"/>
    <n v="116.2"/>
    <n v="123.8"/>
    <n v="112.5"/>
    <n v="116"/>
    <n v="575.6"/>
    <n v="121.7"/>
    <s v="2015 June"/>
  </r>
  <r>
    <x v="2"/>
    <x v="8"/>
    <s v="June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623.5"/>
    <n v="129.19999999999999"/>
    <n v="126.4"/>
    <n v="122"/>
    <n v="125.7"/>
    <n v="374.1"/>
    <n v="119"/>
    <n v="119"/>
    <n v="119.8"/>
    <n v="121.1"/>
    <n v="118.5"/>
    <n v="112.9"/>
    <n v="116.9"/>
    <n v="123.1"/>
    <n v="112.8"/>
    <n v="117"/>
    <n v="580.70000000000005"/>
    <n v="123"/>
    <s v="2015 June"/>
  </r>
  <r>
    <x v="0"/>
    <x v="8"/>
    <s v="July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625.3"/>
    <n v="129.4"/>
    <n v="128.80000000000001"/>
    <n v="125.5"/>
    <n v="128.30000000000001"/>
    <n v="382.6"/>
    <s v="NA"/>
    <n v="120.1"/>
    <n v="123"/>
    <n v="123"/>
    <n v="120.8"/>
    <n v="114.1"/>
    <n v="118"/>
    <n v="122.9"/>
    <n v="112.7"/>
    <n v="118.1"/>
    <n v="585.9"/>
    <n v="124.7"/>
    <s v="2015 July"/>
  </r>
  <r>
    <x v="1"/>
    <x v="8"/>
    <s v="July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642.8999999999999"/>
    <n v="133.1"/>
    <n v="123.5"/>
    <n v="117.9"/>
    <n v="122.7"/>
    <n v="364.1"/>
    <n v="119.9"/>
    <n v="119.9"/>
    <n v="115.3"/>
    <n v="119.5"/>
    <n v="116"/>
    <n v="111.5"/>
    <n v="116.6"/>
    <n v="125.4"/>
    <n v="111.7"/>
    <n v="116.3"/>
    <n v="575.6"/>
    <n v="122.4"/>
    <s v="2015 July"/>
  </r>
  <r>
    <x v="2"/>
    <x v="8"/>
    <s v="July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630.6000000000001"/>
    <n v="130.4"/>
    <n v="126.7"/>
    <n v="122.3"/>
    <n v="126.1"/>
    <n v="375.1"/>
    <n v="119.9"/>
    <n v="119.9"/>
    <n v="120.1"/>
    <n v="121.3"/>
    <n v="119"/>
    <n v="112.7"/>
    <n v="117.2"/>
    <n v="124.4"/>
    <n v="112.3"/>
    <n v="117.2"/>
    <n v="580.70000000000005"/>
    <n v="123.6"/>
    <s v="2015 July"/>
  </r>
  <r>
    <x v="0"/>
    <x v="8"/>
    <s v="January"/>
    <n v="123.1"/>
    <n v="123.1"/>
    <n v="122.1"/>
    <n v="124.9"/>
    <n v="111"/>
    <n v="130.4"/>
    <n v="132.30000000000001"/>
    <n v="117.2"/>
    <n v="100.5"/>
    <n v="117.2"/>
    <n v="117.9"/>
    <n v="125.6"/>
    <n v="122.8"/>
    <n v="1568.1"/>
    <n v="122.7"/>
    <n v="124.4"/>
    <n v="121.6"/>
    <n v="124"/>
    <n v="370"/>
    <s v="NA"/>
    <n v="120.1"/>
    <n v="118.4"/>
    <n v="118.9"/>
    <n v="116.6"/>
    <n v="111"/>
    <n v="114"/>
    <n v="118.2"/>
    <n v="110.2"/>
    <n v="114.5"/>
    <n v="568.59999999999991"/>
    <n v="120.3"/>
    <s v="2015 January"/>
  </r>
  <r>
    <x v="1"/>
    <x v="8"/>
    <s v="January"/>
    <n v="124"/>
    <n v="125.5"/>
    <n v="126.6"/>
    <n v="125.2"/>
    <n v="104.3"/>
    <n v="121.3"/>
    <n v="134.4"/>
    <n v="122.9"/>
    <n v="96.1"/>
    <n v="126.6"/>
    <n v="116.5"/>
    <n v="128"/>
    <n v="123.5"/>
    <n v="1574.8999999999999"/>
    <n v="127.4"/>
    <n v="121"/>
    <n v="116.1"/>
    <n v="120.2"/>
    <n v="357.3"/>
    <n v="117.3"/>
    <n v="117.3"/>
    <n v="113.4"/>
    <n v="117.2"/>
    <n v="113.7"/>
    <n v="107.9"/>
    <n v="114.6"/>
    <n v="120.8"/>
    <n v="111.4"/>
    <n v="113.4"/>
    <n v="564.5"/>
    <n v="118.5"/>
    <s v="2015 January"/>
  </r>
  <r>
    <x v="2"/>
    <x v="8"/>
    <s v="January"/>
    <n v="123.4"/>
    <n v="123.9"/>
    <n v="123.8"/>
    <n v="125"/>
    <n v="108.5"/>
    <n v="126.2"/>
    <n v="133"/>
    <n v="119.1"/>
    <n v="99"/>
    <n v="120.3"/>
    <n v="117.3"/>
    <n v="126.7"/>
    <n v="123.1"/>
    <n v="1569.3"/>
    <n v="124"/>
    <n v="123.1"/>
    <n v="119.3"/>
    <n v="122.5"/>
    <n v="364.9"/>
    <n v="117.3"/>
    <n v="117.3"/>
    <n v="116.5"/>
    <n v="118.1"/>
    <n v="115.5"/>
    <n v="109.4"/>
    <n v="114.3"/>
    <n v="119.7"/>
    <n v="110.7"/>
    <n v="114"/>
    <n v="566.5"/>
    <n v="119.5"/>
    <s v="2015 January"/>
  </r>
  <r>
    <x v="0"/>
    <x v="8"/>
    <s v="February"/>
    <n v="123.4"/>
    <n v="124.4"/>
    <n v="122.1"/>
    <n v="125.8"/>
    <n v="111.5"/>
    <n v="129.4"/>
    <n v="128.19999999999999"/>
    <n v="118.8"/>
    <n v="100"/>
    <n v="118.6"/>
    <n v="118.8"/>
    <n v="126.8"/>
    <n v="122.8"/>
    <n v="1570.5999999999997"/>
    <n v="124.2"/>
    <n v="125.4"/>
    <n v="122.7"/>
    <n v="125"/>
    <n v="373.1"/>
    <s v="NA"/>
    <n v="120.1"/>
    <n v="120"/>
    <n v="119.6"/>
    <n v="117.7"/>
    <n v="110.9"/>
    <n v="114.8"/>
    <n v="118.7"/>
    <n v="110.8"/>
    <n v="115"/>
    <n v="571.1"/>
    <n v="120.6"/>
    <s v="2015 February"/>
  </r>
  <r>
    <x v="1"/>
    <x v="8"/>
    <s v="February"/>
    <n v="124.3"/>
    <n v="126.5"/>
    <n v="119.5"/>
    <n v="125.6"/>
    <n v="104.9"/>
    <n v="121.6"/>
    <n v="131.80000000000001"/>
    <n v="125.1"/>
    <n v="95"/>
    <n v="127.7"/>
    <n v="116.8"/>
    <n v="128.6"/>
    <n v="123.7"/>
    <n v="1571.1000000000001"/>
    <n v="128.1"/>
    <n v="121.3"/>
    <n v="116.5"/>
    <n v="120.6"/>
    <n v="358.4"/>
    <n v="118.1"/>
    <n v="118.1"/>
    <n v="114"/>
    <n v="117.7"/>
    <n v="114.1"/>
    <n v="106.8"/>
    <n v="114.9"/>
    <n v="120.4"/>
    <n v="111.7"/>
    <n v="113.2"/>
    <n v="564.29999999999995"/>
    <n v="118.7"/>
    <s v="2015 February"/>
  </r>
  <r>
    <x v="2"/>
    <x v="8"/>
    <s v="February"/>
    <n v="123.7"/>
    <n v="125.1"/>
    <n v="121.1"/>
    <n v="125.7"/>
    <n v="109.1"/>
    <n v="125.8"/>
    <n v="129.4"/>
    <n v="120.9"/>
    <n v="98.3"/>
    <n v="121.6"/>
    <n v="118"/>
    <n v="127.6"/>
    <n v="123.1"/>
    <n v="1569.3999999999996"/>
    <n v="125.2"/>
    <n v="123.8"/>
    <n v="120.1"/>
    <n v="123.3"/>
    <n v="367.2"/>
    <n v="118.1"/>
    <n v="118.1"/>
    <n v="117.7"/>
    <n v="118.7"/>
    <n v="116.3"/>
    <n v="108.7"/>
    <n v="114.9"/>
    <n v="119.7"/>
    <n v="111.2"/>
    <n v="114.1"/>
    <n v="567.6"/>
    <n v="119.7"/>
    <s v="2015 February"/>
  </r>
  <r>
    <x v="0"/>
    <x v="8"/>
    <s v="December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682.3000000000002"/>
    <n v="133.1"/>
    <n v="132.5"/>
    <n v="128.5"/>
    <n v="131.9"/>
    <n v="392.9"/>
    <s v="NA"/>
    <n v="120.1"/>
    <n v="125.7"/>
    <n v="126"/>
    <n v="123.1"/>
    <n v="114"/>
    <n v="121.6"/>
    <n v="125.6"/>
    <n v="114.1"/>
    <n v="119.8"/>
    <n v="595.5"/>
    <n v="127.9"/>
    <s v="2015 December"/>
  </r>
  <r>
    <x v="1"/>
    <x v="8"/>
    <s v="December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698.8"/>
    <n v="138.19999999999999"/>
    <n v="125.4"/>
    <n v="119.5"/>
    <n v="124.5"/>
    <n v="369.4"/>
    <n v="122.4"/>
    <n v="122.4"/>
    <n v="116"/>
    <n v="121"/>
    <n v="118.6"/>
    <n v="109.3"/>
    <n v="118.1"/>
    <n v="126.6"/>
    <n v="113.2"/>
    <n v="116.7"/>
    <n v="578.29999999999995"/>
    <n v="124"/>
    <s v="2015 December"/>
  </r>
  <r>
    <x v="2"/>
    <x v="8"/>
    <s v="December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686.1000000000001"/>
    <n v="134.5"/>
    <n v="129.69999999999999"/>
    <n v="124.8"/>
    <n v="129"/>
    <n v="383.5"/>
    <n v="122.4"/>
    <n v="122.4"/>
    <n v="122"/>
    <n v="123.6"/>
    <n v="121.4"/>
    <n v="111.5"/>
    <n v="119.6"/>
    <n v="126.2"/>
    <n v="113.7"/>
    <n v="118.3"/>
    <n v="586.69999999999993"/>
    <n v="126.1"/>
    <s v="2015 December"/>
  </r>
  <r>
    <x v="0"/>
    <x v="8"/>
    <s v="August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646.6"/>
    <n v="130.1"/>
    <n v="129.5"/>
    <n v="126.3"/>
    <n v="129"/>
    <n v="384.8"/>
    <s v="NA"/>
    <n v="120.1"/>
    <n v="123.8"/>
    <n v="123.7"/>
    <n v="121.1"/>
    <n v="113.6"/>
    <n v="118.5"/>
    <n v="123.6"/>
    <n v="112.5"/>
    <n v="118.2"/>
    <n v="586.5"/>
    <n v="126.1"/>
    <s v="2015 August"/>
  </r>
  <r>
    <x v="1"/>
    <x v="8"/>
    <s v="August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658.8999999999999"/>
    <n v="134.19999999999999"/>
    <n v="123.7"/>
    <n v="118.2"/>
    <n v="122.9"/>
    <n v="364.8"/>
    <n v="120.9"/>
    <n v="120.9"/>
    <n v="115.3"/>
    <n v="120"/>
    <n v="116.6"/>
    <n v="109.9"/>
    <n v="117.2"/>
    <n v="126.2"/>
    <n v="112"/>
    <n v="116.2"/>
    <n v="575.30000000000007"/>
    <n v="123.2"/>
    <s v="2015 August"/>
  </r>
  <r>
    <x v="2"/>
    <x v="8"/>
    <s v="August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649.6"/>
    <n v="131.19999999999999"/>
    <n v="127.2"/>
    <n v="122.9"/>
    <n v="126.6"/>
    <n v="376.70000000000005"/>
    <n v="120.9"/>
    <n v="120.9"/>
    <n v="120.6"/>
    <n v="122"/>
    <n v="119.4"/>
    <n v="111.7"/>
    <n v="117.8"/>
    <n v="125.1"/>
    <n v="112.3"/>
    <n v="117.2"/>
    <n v="581"/>
    <n v="124.8"/>
    <s v="2015 August"/>
  </r>
  <r>
    <x v="0"/>
    <x v="8"/>
    <s v="April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577.2"/>
    <n v="125.7"/>
    <n v="126.4"/>
    <n v="123.3"/>
    <n v="126"/>
    <n v="375.7"/>
    <s v="NA"/>
    <n v="120.1"/>
    <n v="121.2"/>
    <n v="120.9"/>
    <n v="118.6"/>
    <n v="111.9"/>
    <n v="116.2"/>
    <n v="119.9"/>
    <n v="111.6"/>
    <n v="116"/>
    <n v="576.6"/>
    <n v="121.5"/>
    <s v="2015 April"/>
  </r>
  <r>
    <x v="1"/>
    <x v="8"/>
    <s v="April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576.1"/>
    <n v="130.1"/>
    <n v="122.1"/>
    <n v="117.2"/>
    <n v="121.3"/>
    <n v="360.6"/>
    <n v="119.2"/>
    <n v="119.2"/>
    <n v="114.7"/>
    <n v="118.4"/>
    <n v="114.6"/>
    <n v="108.4"/>
    <n v="115.6"/>
    <n v="121.7"/>
    <n v="111.8"/>
    <n v="114.2"/>
    <n v="568.4"/>
    <n v="119.7"/>
    <s v="2015 April"/>
  </r>
  <r>
    <x v="2"/>
    <x v="8"/>
    <s v="April"/>
    <n v="123.5"/>
    <n v="126.4"/>
    <n v="114.4"/>
    <n v="126.6"/>
    <n v="109.2"/>
    <n v="132.5"/>
    <n v="128.6"/>
    <n v="124.8"/>
    <n v="95.7"/>
    <n v="122.4"/>
    <n v="118.5"/>
    <n v="129.1"/>
    <n v="124"/>
    <n v="1575.7"/>
    <n v="126.9"/>
    <n v="124.7"/>
    <n v="120.8"/>
    <n v="124.1"/>
    <n v="369.6"/>
    <n v="119.2"/>
    <n v="119.2"/>
    <n v="118.7"/>
    <n v="119.7"/>
    <n v="117.1"/>
    <n v="110.1"/>
    <n v="115.9"/>
    <n v="121"/>
    <n v="111.7"/>
    <n v="115.1"/>
    <n v="572.5"/>
    <n v="120.7"/>
    <s v="2015 April"/>
  </r>
  <r>
    <x v="0"/>
    <x v="9"/>
    <s v="September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583.2"/>
    <n v="119.5"/>
    <n v="121.7"/>
    <n v="119.2"/>
    <n v="121.3"/>
    <n v="362.2"/>
    <s v="NA"/>
    <n v="114.6"/>
    <n v="115.8"/>
    <n v="116.7"/>
    <n v="114.5"/>
    <n v="112.8"/>
    <n v="112.6"/>
    <n v="116.6"/>
    <n v="109.1"/>
    <n v="113.7"/>
    <n v="564.90000000000009"/>
    <n v="120.9"/>
    <s v="2014 September"/>
  </r>
  <r>
    <x v="1"/>
    <x v="9"/>
    <s v="September"/>
    <n v="124.2"/>
    <n v="125.4"/>
    <n v="116.4"/>
    <n v="122.7"/>
    <n v="103.5"/>
    <n v="124.5"/>
    <n v="168.6"/>
    <n v="116.9"/>
    <n v="101.9"/>
    <n v="122.9"/>
    <n v="114.8"/>
    <n v="125.2"/>
    <n v="126.7"/>
    <n v="1593.7000000000003"/>
    <n v="124.3"/>
    <n v="119.2"/>
    <n v="114.5"/>
    <n v="118.4"/>
    <n v="352.1"/>
    <n v="116.1"/>
    <n v="116.1"/>
    <n v="111.8"/>
    <n v="115.5"/>
    <n v="112.3"/>
    <n v="111.2"/>
    <n v="113.4"/>
    <n v="120"/>
    <n v="110"/>
    <n v="113.6"/>
    <n v="563.70000000000005"/>
    <n v="119.2"/>
    <s v="2014 September"/>
  </r>
  <r>
    <x v="2"/>
    <x v="9"/>
    <s v="September"/>
    <n v="122.9"/>
    <n v="123.5"/>
    <n v="117.3"/>
    <n v="122.7"/>
    <n v="107.9"/>
    <n v="127.3"/>
    <n v="162.1"/>
    <n v="115.6"/>
    <n v="103.8"/>
    <n v="117.6"/>
    <n v="115.8"/>
    <n v="123.8"/>
    <n v="125.8"/>
    <n v="1586.0999999999997"/>
    <n v="120.8"/>
    <n v="120.7"/>
    <n v="117.2"/>
    <n v="120.1"/>
    <n v="358"/>
    <n v="116.1"/>
    <n v="116.1"/>
    <n v="114.3"/>
    <n v="116.1"/>
    <n v="113.7"/>
    <n v="112"/>
    <n v="113.1"/>
    <n v="118.6"/>
    <n v="109.5"/>
    <n v="113.7"/>
    <n v="564.4"/>
    <n v="120.1"/>
    <s v="2014 September"/>
  </r>
  <r>
    <x v="0"/>
    <x v="9"/>
    <s v="October"/>
    <n v="122.6"/>
    <n v="122.5"/>
    <n v="118.3"/>
    <n v="123.2"/>
    <n v="110.5"/>
    <n v="128.9"/>
    <n v="155.30000000000001"/>
    <n v="115.5"/>
    <n v="104"/>
    <n v="115.3"/>
    <n v="116.8"/>
    <n v="123.2"/>
    <n v="125.1"/>
    <n v="1581.1999999999998"/>
    <n v="120"/>
    <n v="122.7"/>
    <n v="120.3"/>
    <n v="122.3"/>
    <n v="365.3"/>
    <s v="NA"/>
    <n v="114.6"/>
    <n v="116.4"/>
    <n v="117.5"/>
    <n v="115.3"/>
    <n v="112.6"/>
    <n v="113"/>
    <n v="116.9"/>
    <n v="109.3"/>
    <n v="114"/>
    <n v="566.40000000000009"/>
    <n v="121"/>
    <s v="2014 October"/>
  </r>
  <r>
    <x v="1"/>
    <x v="9"/>
    <s v="October"/>
    <n v="124.6"/>
    <n v="126.1"/>
    <n v="117.8"/>
    <n v="123.1"/>
    <n v="103.5"/>
    <n v="123.5"/>
    <n v="159.6"/>
    <n v="117.4"/>
    <n v="101.2"/>
    <n v="123.8"/>
    <n v="115.2"/>
    <n v="125.9"/>
    <n v="125.8"/>
    <n v="1587.5"/>
    <n v="124.3"/>
    <n v="119.6"/>
    <n v="114.9"/>
    <n v="118.9"/>
    <n v="353.4"/>
    <n v="116.7"/>
    <n v="116.7"/>
    <n v="112"/>
    <n v="115.8"/>
    <n v="112.6"/>
    <n v="111"/>
    <n v="113.6"/>
    <n v="120.2"/>
    <n v="110.1"/>
    <n v="113.7"/>
    <n v="564.20000000000005"/>
    <n v="119.1"/>
    <s v="2014 October"/>
  </r>
  <r>
    <x v="2"/>
    <x v="9"/>
    <s v="October"/>
    <n v="123.2"/>
    <n v="123.8"/>
    <n v="118.1"/>
    <n v="123.2"/>
    <n v="107.9"/>
    <n v="126.4"/>
    <n v="156.80000000000001"/>
    <n v="116.1"/>
    <n v="103.1"/>
    <n v="118.1"/>
    <n v="116.1"/>
    <n v="124.5"/>
    <n v="125.4"/>
    <n v="1582.7"/>
    <n v="121.1"/>
    <n v="121.5"/>
    <n v="118.1"/>
    <n v="121"/>
    <n v="360.6"/>
    <n v="116.7"/>
    <n v="116.7"/>
    <n v="114.7"/>
    <n v="116.7"/>
    <n v="114.3"/>
    <n v="111.8"/>
    <n v="113.3"/>
    <n v="118.8"/>
    <n v="109.6"/>
    <n v="113.9"/>
    <n v="565.29999999999995"/>
    <n v="120.1"/>
    <s v="2014 October"/>
  </r>
  <r>
    <x v="0"/>
    <x v="9"/>
    <s v="November"/>
    <n v="122.7"/>
    <n v="122.6"/>
    <n v="119.9"/>
    <n v="124"/>
    <n v="110.5"/>
    <n v="128.80000000000001"/>
    <n v="152"/>
    <n v="116.2"/>
    <n v="103.3"/>
    <n v="115.8"/>
    <n v="116.8"/>
    <n v="124.5"/>
    <n v="124.9"/>
    <n v="1582"/>
    <n v="120.8"/>
    <n v="123.3"/>
    <n v="120.5"/>
    <n v="122.9"/>
    <n v="366.70000000000005"/>
    <s v="NA"/>
    <n v="114.6"/>
    <n v="117.3"/>
    <n v="118.1"/>
    <n v="115.9"/>
    <n v="112"/>
    <n v="113.3"/>
    <n v="117.2"/>
    <n v="108.8"/>
    <n v="114.1"/>
    <n v="566.29999999999995"/>
    <n v="121.1"/>
    <s v="2014 November"/>
  </r>
  <r>
    <x v="1"/>
    <x v="9"/>
    <s v="November"/>
    <n v="124.5"/>
    <n v="125.6"/>
    <n v="122.7"/>
    <n v="124.6"/>
    <n v="103.2"/>
    <n v="122.2"/>
    <n v="153.19999999999999"/>
    <n v="119.3"/>
    <n v="99.8"/>
    <n v="124.6"/>
    <n v="115.8"/>
    <n v="126.9"/>
    <n v="125.4"/>
    <n v="1587.8"/>
    <n v="125.8"/>
    <n v="120.3"/>
    <n v="115.4"/>
    <n v="119.5"/>
    <n v="355.2"/>
    <n v="117.1"/>
    <n v="117.1"/>
    <n v="112.6"/>
    <n v="116.4"/>
    <n v="113"/>
    <n v="109.7"/>
    <n v="114"/>
    <n v="120.3"/>
    <n v="109.6"/>
    <n v="113.4"/>
    <n v="563.1"/>
    <n v="119"/>
    <s v="2014 November"/>
  </r>
  <r>
    <x v="2"/>
    <x v="9"/>
    <s v="November"/>
    <n v="123.3"/>
    <n v="123.7"/>
    <n v="121"/>
    <n v="124.2"/>
    <n v="107.8"/>
    <n v="125.7"/>
    <n v="152.4"/>
    <n v="117.2"/>
    <n v="102.1"/>
    <n v="118.7"/>
    <n v="116.4"/>
    <n v="125.6"/>
    <n v="125.1"/>
    <n v="1583.2"/>
    <n v="122.1"/>
    <n v="122.1"/>
    <n v="118.4"/>
    <n v="121.6"/>
    <n v="362.1"/>
    <n v="117.1"/>
    <n v="117.1"/>
    <n v="115.5"/>
    <n v="117.3"/>
    <n v="114.8"/>
    <n v="110.8"/>
    <n v="113.7"/>
    <n v="119"/>
    <n v="109.1"/>
    <n v="113.8"/>
    <n v="564.69999999999993"/>
    <n v="120.1"/>
    <s v="2014 November"/>
  </r>
  <r>
    <x v="0"/>
    <x v="9"/>
    <s v="May"/>
    <n v="120.3"/>
    <n v="120.2"/>
    <n v="116.9"/>
    <n v="118"/>
    <n v="110.1"/>
    <n v="126.3"/>
    <n v="123.9"/>
    <n v="111.5"/>
    <n v="103.5"/>
    <n v="111.6"/>
    <n v="114.2"/>
    <n v="119.2"/>
    <n v="118.2"/>
    <n v="1513.8999999999999"/>
    <n v="116.3"/>
    <n v="118.7"/>
    <n v="116.8"/>
    <n v="118.5"/>
    <n v="354"/>
    <s v="NA"/>
    <n v="114.6"/>
    <n v="113.4"/>
    <n v="114.1"/>
    <n v="112.1"/>
    <n v="111.4"/>
    <n v="110.9"/>
    <n v="113.1"/>
    <n v="108.9"/>
    <n v="111.8"/>
    <n v="557.09999999999991"/>
    <n v="116"/>
    <s v="2014 May"/>
  </r>
  <r>
    <x v="1"/>
    <x v="9"/>
    <s v="May"/>
    <n v="122.7"/>
    <n v="124.1"/>
    <n v="114.2"/>
    <n v="119.1"/>
    <n v="103.5"/>
    <n v="129.19999999999999"/>
    <n v="127"/>
    <n v="112.6"/>
    <n v="101.3"/>
    <n v="117"/>
    <n v="112.9"/>
    <n v="121.7"/>
    <n v="120"/>
    <n v="1525.3000000000002"/>
    <n v="118.3"/>
    <n v="116.8"/>
    <n v="112.9"/>
    <n v="116.2"/>
    <n v="345.9"/>
    <n v="114.3"/>
    <n v="114.3"/>
    <n v="111.1"/>
    <n v="114.1"/>
    <n v="111.2"/>
    <n v="111.3"/>
    <n v="111.5"/>
    <n v="112.9"/>
    <n v="109.3"/>
    <n v="111.7"/>
    <n v="557.9"/>
    <n v="115.6"/>
    <s v="2014 May"/>
  </r>
  <r>
    <x v="2"/>
    <x v="9"/>
    <s v="May"/>
    <n v="121.1"/>
    <n v="121.6"/>
    <n v="115.9"/>
    <n v="118.4"/>
    <n v="107.7"/>
    <n v="127.7"/>
    <n v="125"/>
    <n v="111.9"/>
    <n v="102.8"/>
    <n v="113.4"/>
    <n v="113.7"/>
    <n v="120.4"/>
    <n v="118.9"/>
    <n v="1518.5000000000005"/>
    <n v="116.8"/>
    <n v="118"/>
    <n v="115.2"/>
    <n v="117.6"/>
    <n v="350.79999999999995"/>
    <n v="114.3"/>
    <n v="114.3"/>
    <n v="112.5"/>
    <n v="114.1"/>
    <n v="111.8"/>
    <n v="111.3"/>
    <n v="111.2"/>
    <n v="113"/>
    <n v="109.1"/>
    <n v="111.8"/>
    <n v="557.49999999999989"/>
    <n v="115.8"/>
    <s v="2014 May"/>
  </r>
  <r>
    <x v="2"/>
    <x v="9"/>
    <s v="Marcrh"/>
    <n v="120.7"/>
    <n v="119.3"/>
    <n v="121"/>
    <n v="116.1"/>
    <n v="106.9"/>
    <n v="118.7"/>
    <n v="116.3"/>
    <n v="109.8"/>
    <n v="99.6"/>
    <n v="111.8"/>
    <n v="112.7"/>
    <n v="119.3"/>
    <n v="116.1"/>
    <n v="1488.2999999999997"/>
    <n v="115.2"/>
    <n v="116.8"/>
    <n v="113.7"/>
    <n v="116.4"/>
    <n v="346.9"/>
    <n v="113.2"/>
    <n v="113.2"/>
    <n v="112.5"/>
    <n v="113.2"/>
    <n v="111.2"/>
    <n v="111.4"/>
    <n v="110.6"/>
    <n v="112"/>
    <n v="109"/>
    <n v="111.3"/>
    <n v="555.5"/>
    <n v="114.2"/>
    <s v="2014 Marcrh"/>
  </r>
  <r>
    <x v="0"/>
    <x v="9"/>
    <s v="March"/>
    <n v="120.1"/>
    <n v="118.1"/>
    <n v="120.7"/>
    <n v="116.1"/>
    <n v="109.3"/>
    <n v="119.6"/>
    <n v="117.9"/>
    <n v="110.2"/>
    <n v="101.2"/>
    <n v="110.7"/>
    <n v="113"/>
    <n v="118.3"/>
    <n v="116.2"/>
    <n v="1491.4"/>
    <n v="114.6"/>
    <n v="117.5"/>
    <n v="114.9"/>
    <n v="117.2"/>
    <n v="349.6"/>
    <s v="NA"/>
    <n v="114.6"/>
    <n v="113.4"/>
    <n v="113.4"/>
    <n v="111.4"/>
    <n v="111.2"/>
    <n v="110.2"/>
    <n v="112.4"/>
    <n v="108.9"/>
    <n v="111.3"/>
    <n v="555"/>
    <n v="114.6"/>
    <s v="2014 March"/>
  </r>
  <r>
    <x v="1"/>
    <x v="9"/>
    <s v="March"/>
    <n v="122.1"/>
    <n v="121.4"/>
    <n v="121.5"/>
    <n v="116.2"/>
    <n v="102.8"/>
    <n v="117.7"/>
    <n v="113.3"/>
    <n v="108.9"/>
    <n v="96.3"/>
    <n v="114.1"/>
    <n v="112.2"/>
    <n v="120.5"/>
    <n v="116"/>
    <n v="1483"/>
    <n v="116.7"/>
    <n v="115.8"/>
    <n v="112.1"/>
    <n v="115.2"/>
    <n v="343.09999999999997"/>
    <n v="113.2"/>
    <n v="113.2"/>
    <n v="110.9"/>
    <n v="113"/>
    <n v="110.8"/>
    <n v="111.6"/>
    <n v="110.9"/>
    <n v="111.8"/>
    <n v="109.2"/>
    <n v="111.4"/>
    <n v="556.1"/>
    <n v="113.7"/>
    <s v="2014 March"/>
  </r>
  <r>
    <x v="0"/>
    <x v="9"/>
    <s v="June"/>
    <n v="120.7"/>
    <n v="121.6"/>
    <n v="116.1"/>
    <n v="119.3"/>
    <n v="110.3"/>
    <n v="125.8"/>
    <n v="129.30000000000001"/>
    <n v="112.2"/>
    <n v="103.6"/>
    <n v="112.3"/>
    <n v="114.9"/>
    <n v="120.1"/>
    <n v="119.5"/>
    <n v="1525.6999999999998"/>
    <n v="117.3"/>
    <n v="119.7"/>
    <n v="117.3"/>
    <n v="119.3"/>
    <n v="356.3"/>
    <s v="NA"/>
    <n v="114.6"/>
    <n v="114.4"/>
    <n v="114.9"/>
    <n v="112.8"/>
    <n v="112.2"/>
    <n v="111.4"/>
    <n v="114.3"/>
    <n v="108"/>
    <n v="112.3"/>
    <n v="558.79999999999995"/>
    <n v="117"/>
    <s v="2014 June"/>
  </r>
  <r>
    <x v="1"/>
    <x v="9"/>
    <s v="June"/>
    <n v="123.1"/>
    <n v="125.9"/>
    <n v="115.4"/>
    <n v="120.4"/>
    <n v="103.4"/>
    <n v="131.19999999999999"/>
    <n v="137.5"/>
    <n v="112.8"/>
    <n v="101.4"/>
    <n v="118.3"/>
    <n v="113.2"/>
    <n v="122.4"/>
    <n v="122"/>
    <n v="1547"/>
    <n v="119"/>
    <n v="117.4"/>
    <n v="113.2"/>
    <n v="116.7"/>
    <n v="347.3"/>
    <n v="113.9"/>
    <n v="113.9"/>
    <n v="111.2"/>
    <n v="114.3"/>
    <n v="111.4"/>
    <n v="111.5"/>
    <n v="111.8"/>
    <n v="115.1"/>
    <n v="108.7"/>
    <n v="112.2"/>
    <n v="558.5"/>
    <n v="116.4"/>
    <s v="2014 June"/>
  </r>
  <r>
    <x v="2"/>
    <x v="9"/>
    <s v="June"/>
    <n v="121.5"/>
    <n v="123.1"/>
    <n v="115.8"/>
    <n v="119.7"/>
    <n v="107.8"/>
    <n v="128.30000000000001"/>
    <n v="132.1"/>
    <n v="112.4"/>
    <n v="102.9"/>
    <n v="114.3"/>
    <n v="114.2"/>
    <n v="121.2"/>
    <n v="120.4"/>
    <n v="1533.7000000000003"/>
    <n v="117.8"/>
    <n v="118.8"/>
    <n v="115.6"/>
    <n v="118.3"/>
    <n v="352.7"/>
    <n v="113.9"/>
    <n v="113.9"/>
    <n v="113.2"/>
    <n v="114.6"/>
    <n v="112.3"/>
    <n v="111.8"/>
    <n v="111.6"/>
    <n v="114.8"/>
    <n v="108.3"/>
    <n v="112.3"/>
    <n v="558.6"/>
    <n v="116.7"/>
    <s v="2014 June"/>
  </r>
  <r>
    <x v="0"/>
    <x v="9"/>
    <s v="July"/>
    <n v="121.7"/>
    <n v="122.5"/>
    <n v="117.7"/>
    <n v="120.6"/>
    <n v="110.4"/>
    <n v="129.1"/>
    <n v="150.1"/>
    <n v="113.2"/>
    <n v="104.8"/>
    <n v="113.3"/>
    <n v="115.6"/>
    <n v="120.9"/>
    <n v="123.3"/>
    <n v="1563.2"/>
    <n v="118"/>
    <n v="120.7"/>
    <n v="118.3"/>
    <n v="120.3"/>
    <n v="359.3"/>
    <s v="NA"/>
    <n v="114.6"/>
    <n v="115.3"/>
    <n v="115.4"/>
    <n v="113.4"/>
    <n v="113.2"/>
    <n v="111.8"/>
    <n v="115.5"/>
    <n v="108.8"/>
    <n v="113.1"/>
    <n v="562.30000000000007"/>
    <n v="119.5"/>
    <s v="2014 July"/>
  </r>
  <r>
    <x v="1"/>
    <x v="9"/>
    <s v="July"/>
    <n v="123.8"/>
    <n v="126.4"/>
    <n v="118"/>
    <n v="121.6"/>
    <n v="103.5"/>
    <n v="133.69999999999999"/>
    <n v="172.4"/>
    <n v="113.1"/>
    <n v="102.7"/>
    <n v="120"/>
    <n v="113.8"/>
    <n v="123.4"/>
    <n v="127.1"/>
    <n v="1599.5"/>
    <n v="121"/>
    <n v="118"/>
    <n v="113.6"/>
    <n v="117.4"/>
    <n v="349"/>
    <n v="114.8"/>
    <n v="114.8"/>
    <n v="111.6"/>
    <n v="114.9"/>
    <n v="111.5"/>
    <n v="113"/>
    <n v="112.4"/>
    <n v="117.8"/>
    <n v="109.7"/>
    <n v="113.5"/>
    <n v="563.5"/>
    <n v="118.9"/>
    <s v="2014 July"/>
  </r>
  <r>
    <x v="2"/>
    <x v="9"/>
    <s v="July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576.3"/>
    <n v="118.8"/>
    <n v="119.6"/>
    <n v="116.3"/>
    <n v="119.1"/>
    <n v="355"/>
    <n v="114.8"/>
    <n v="114.8"/>
    <n v="113.9"/>
    <n v="115.2"/>
    <n v="112.7"/>
    <n v="113.1"/>
    <n v="112.1"/>
    <n v="116.8"/>
    <n v="109.2"/>
    <n v="113.3"/>
    <n v="562.9"/>
    <n v="119.2"/>
    <s v="2014 July"/>
  </r>
  <r>
    <x v="0"/>
    <x v="9"/>
    <s v="January"/>
    <n v="118.9"/>
    <n v="117.1"/>
    <n v="120.5"/>
    <n v="114.4"/>
    <n v="109"/>
    <n v="115.5"/>
    <n v="123.9"/>
    <n v="109.6"/>
    <n v="101.8"/>
    <n v="110.2"/>
    <n v="112.4"/>
    <n v="117.3"/>
    <n v="116"/>
    <n v="1486.6000000000001"/>
    <n v="114"/>
    <n v="116.5"/>
    <n v="114.5"/>
    <n v="116.2"/>
    <n v="347.2"/>
    <s v="NA"/>
    <n v="114.6"/>
    <n v="113"/>
    <n v="112.6"/>
    <n v="110.6"/>
    <n v="110.5"/>
    <n v="109.6"/>
    <n v="111.8"/>
    <n v="108.3"/>
    <n v="110.6"/>
    <n v="551.6"/>
    <n v="114.2"/>
    <s v="2014 January"/>
  </r>
  <r>
    <x v="1"/>
    <x v="9"/>
    <s v="January"/>
    <n v="121.2"/>
    <n v="122"/>
    <n v="129.9"/>
    <n v="113.6"/>
    <n v="102.9"/>
    <n v="112.1"/>
    <n v="118.9"/>
    <n v="107.5"/>
    <n v="96.9"/>
    <n v="112.7"/>
    <n v="112.1"/>
    <n v="119"/>
    <n v="115.5"/>
    <n v="1484.3"/>
    <n v="115.7"/>
    <n v="114.8"/>
    <n v="111.3"/>
    <n v="114.3"/>
    <n v="340.4"/>
    <n v="111.6"/>
    <n v="111.6"/>
    <n v="111"/>
    <n v="111.9"/>
    <n v="109.7"/>
    <n v="110.8"/>
    <n v="109.8"/>
    <n v="111.5"/>
    <n v="108"/>
    <n v="110.5"/>
    <n v="551"/>
    <n v="112.9"/>
    <s v="2014 January"/>
  </r>
  <r>
    <x v="2"/>
    <x v="9"/>
    <s v="January"/>
    <n v="119.6"/>
    <n v="118.8"/>
    <n v="124.1"/>
    <n v="114.1"/>
    <n v="106.8"/>
    <n v="113.9"/>
    <n v="122.2"/>
    <n v="108.9"/>
    <n v="100.2"/>
    <n v="111"/>
    <n v="112.3"/>
    <n v="118.1"/>
    <n v="115.8"/>
    <n v="1485.7999999999997"/>
    <n v="114.5"/>
    <n v="115.8"/>
    <n v="113.2"/>
    <n v="115.4"/>
    <n v="344.4"/>
    <n v="111.6"/>
    <n v="111.6"/>
    <n v="112.2"/>
    <n v="112.3"/>
    <n v="110.3"/>
    <n v="110.7"/>
    <n v="109.7"/>
    <n v="111.6"/>
    <n v="108.2"/>
    <n v="110.6"/>
    <n v="551.5"/>
    <n v="113.6"/>
    <s v="2014 January"/>
  </r>
  <r>
    <x v="0"/>
    <x v="9"/>
    <s v="February"/>
    <n v="119.4"/>
    <n v="117.7"/>
    <n v="121.2"/>
    <n v="115"/>
    <n v="109"/>
    <n v="116.6"/>
    <n v="116"/>
    <n v="109.8"/>
    <n v="101.1"/>
    <n v="110.4"/>
    <n v="112.9"/>
    <n v="117.8"/>
    <n v="115.3"/>
    <n v="1482.2"/>
    <n v="114.2"/>
    <n v="117.1"/>
    <n v="114.5"/>
    <n v="116.7"/>
    <n v="348.3"/>
    <s v="NA"/>
    <n v="114.6"/>
    <n v="113.2"/>
    <n v="112.9"/>
    <n v="110.9"/>
    <n v="110.8"/>
    <n v="109.9"/>
    <n v="112"/>
    <n v="108.7"/>
    <n v="110.9"/>
    <n v="553.20000000000005"/>
    <n v="114"/>
    <s v="2014 February"/>
  </r>
  <r>
    <x v="1"/>
    <x v="9"/>
    <s v="February"/>
    <n v="121.9"/>
    <n v="122"/>
    <n v="124.5"/>
    <n v="115.2"/>
    <n v="102.5"/>
    <n v="114.1"/>
    <n v="111.5"/>
    <n v="108.2"/>
    <n v="95.4"/>
    <n v="113.5"/>
    <n v="112.1"/>
    <n v="119.9"/>
    <n v="115.2"/>
    <n v="1476"/>
    <n v="116.2"/>
    <n v="115.3"/>
    <n v="111.7"/>
    <n v="114.7"/>
    <n v="341.7"/>
    <n v="112.5"/>
    <n v="112.5"/>
    <n v="111.1"/>
    <n v="112.6"/>
    <n v="110.4"/>
    <n v="111.3"/>
    <n v="110.3"/>
    <n v="111.6"/>
    <n v="108.7"/>
    <n v="111"/>
    <n v="553.9"/>
    <n v="113.1"/>
    <s v="2014 February"/>
  </r>
  <r>
    <x v="2"/>
    <x v="9"/>
    <s v="February"/>
    <n v="120.2"/>
    <n v="119.2"/>
    <n v="122.5"/>
    <n v="115.1"/>
    <n v="106.6"/>
    <n v="115.4"/>
    <n v="114.5"/>
    <n v="109.3"/>
    <n v="99.2"/>
    <n v="111.4"/>
    <n v="112.6"/>
    <n v="118.8"/>
    <n v="115.3"/>
    <n v="1480.1"/>
    <n v="114.7"/>
    <n v="116.4"/>
    <n v="113.3"/>
    <n v="115.9"/>
    <n v="345.6"/>
    <n v="112.5"/>
    <n v="112.5"/>
    <n v="112.4"/>
    <n v="112.8"/>
    <n v="110.7"/>
    <n v="111.1"/>
    <n v="110.1"/>
    <n v="111.8"/>
    <n v="108.7"/>
    <n v="110.9"/>
    <n v="553.6"/>
    <n v="113.6"/>
    <s v="2014 February"/>
  </r>
  <r>
    <x v="0"/>
    <x v="9"/>
    <s v="December"/>
    <n v="122.4"/>
    <n v="122.4"/>
    <n v="121.8"/>
    <n v="124.2"/>
    <n v="110.2"/>
    <n v="128.6"/>
    <n v="140.30000000000001"/>
    <n v="116.3"/>
    <n v="102"/>
    <n v="116"/>
    <n v="117.3"/>
    <n v="124.8"/>
    <n v="123.3"/>
    <n v="1569.6"/>
    <n v="121.7"/>
    <n v="123.8"/>
    <n v="120.6"/>
    <n v="123.3"/>
    <n v="367.7"/>
    <s v="NA"/>
    <n v="114.6"/>
    <n v="117.4"/>
    <n v="118.2"/>
    <n v="116.2"/>
    <n v="111.5"/>
    <n v="113.3"/>
    <n v="117.7"/>
    <n v="109.4"/>
    <n v="114.2"/>
    <n v="566.6"/>
    <n v="120.3"/>
    <s v="2014 December"/>
  </r>
  <r>
    <x v="1"/>
    <x v="9"/>
    <s v="December"/>
    <n v="124"/>
    <n v="124.7"/>
    <n v="126.3"/>
    <n v="124.9"/>
    <n v="103"/>
    <n v="122.3"/>
    <n v="141"/>
    <n v="120.1"/>
    <n v="97.8"/>
    <n v="125.4"/>
    <n v="116.1"/>
    <n v="127.6"/>
    <n v="124"/>
    <n v="1577.1999999999998"/>
    <n v="126.4"/>
    <n v="120.7"/>
    <n v="115.8"/>
    <n v="120"/>
    <n v="356.5"/>
    <n v="116.5"/>
    <n v="116.5"/>
    <n v="113"/>
    <n v="116.8"/>
    <n v="113.2"/>
    <n v="108.8"/>
    <n v="114.3"/>
    <n v="120.7"/>
    <n v="110.4"/>
    <n v="113.4"/>
    <n v="563.69999999999993"/>
    <n v="118.4"/>
    <s v="2014 December"/>
  </r>
  <r>
    <x v="2"/>
    <x v="9"/>
    <s v="December"/>
    <n v="122.9"/>
    <n v="123.2"/>
    <n v="123.5"/>
    <n v="124.5"/>
    <n v="107.6"/>
    <n v="125.7"/>
    <n v="140.5"/>
    <n v="117.6"/>
    <n v="100.6"/>
    <n v="119.1"/>
    <n v="116.8"/>
    <n v="126.1"/>
    <n v="123.6"/>
    <n v="1571.6999999999998"/>
    <n v="123"/>
    <n v="122.6"/>
    <n v="118.6"/>
    <n v="122"/>
    <n v="363.2"/>
    <n v="116.5"/>
    <n v="116.5"/>
    <n v="115.7"/>
    <n v="117.5"/>
    <n v="115.1"/>
    <n v="110.1"/>
    <n v="113.9"/>
    <n v="119.5"/>
    <n v="109.8"/>
    <n v="113.8"/>
    <n v="565.1"/>
    <n v="119.4"/>
    <s v="2014 December"/>
  </r>
  <r>
    <x v="0"/>
    <x v="9"/>
    <s v="August"/>
    <n v="121.8"/>
    <n v="122.8"/>
    <n v="117.8"/>
    <n v="121.9"/>
    <n v="110.6"/>
    <n v="129.69999999999999"/>
    <n v="161.1"/>
    <n v="114.1"/>
    <n v="105.1"/>
    <n v="114.6"/>
    <n v="115.8"/>
    <n v="121.7"/>
    <n v="125.3"/>
    <n v="1582.2999999999997"/>
    <n v="118.8"/>
    <n v="120.9"/>
    <n v="118.8"/>
    <n v="120.7"/>
    <n v="360.4"/>
    <s v="NA"/>
    <n v="114.6"/>
    <n v="115.4"/>
    <n v="115.9"/>
    <n v="114"/>
    <n v="113.2"/>
    <n v="112.2"/>
    <n v="116.2"/>
    <n v="109.4"/>
    <n v="113.5"/>
    <n v="564.20000000000005"/>
    <n v="120.7"/>
    <s v="2014 August"/>
  </r>
  <r>
    <x v="1"/>
    <x v="9"/>
    <s v="August"/>
    <n v="124.8"/>
    <n v="127.3"/>
    <n v="116.5"/>
    <n v="122.2"/>
    <n v="103.6"/>
    <n v="132.69999999999999"/>
    <n v="181.9"/>
    <n v="115.2"/>
    <n v="102.7"/>
    <n v="122.1"/>
    <n v="114.4"/>
    <n v="124.7"/>
    <n v="128.9"/>
    <n v="1617"/>
    <n v="123"/>
    <n v="118.6"/>
    <n v="114.1"/>
    <n v="117.9"/>
    <n v="350.6"/>
    <n v="115.5"/>
    <n v="115.5"/>
    <n v="111.8"/>
    <n v="115.3"/>
    <n v="112.2"/>
    <n v="112.5"/>
    <n v="112.9"/>
    <n v="119.2"/>
    <n v="110.5"/>
    <n v="113.9"/>
    <n v="565.1"/>
    <n v="119.9"/>
    <s v="2014 August"/>
  </r>
  <r>
    <x v="2"/>
    <x v="9"/>
    <s v="August"/>
    <n v="122.7"/>
    <n v="124.4"/>
    <n v="117.3"/>
    <n v="122"/>
    <n v="108"/>
    <n v="131.1"/>
    <n v="168.2"/>
    <n v="114.5"/>
    <n v="104.3"/>
    <n v="117.1"/>
    <n v="115.2"/>
    <n v="123.1"/>
    <n v="126.6"/>
    <n v="1594.4999999999998"/>
    <n v="119.9"/>
    <n v="120"/>
    <n v="116.8"/>
    <n v="119.6"/>
    <n v="356.4"/>
    <n v="115.5"/>
    <n v="115.5"/>
    <n v="114"/>
    <n v="115.6"/>
    <n v="113.3"/>
    <n v="112.8"/>
    <n v="112.6"/>
    <n v="118"/>
    <n v="109.9"/>
    <n v="113.7"/>
    <n v="564.6"/>
    <n v="120.3"/>
    <s v="2014 August"/>
  </r>
  <r>
    <x v="0"/>
    <x v="9"/>
    <s v="April"/>
    <n v="120.2"/>
    <n v="118.9"/>
    <n v="118.1"/>
    <n v="117"/>
    <n v="109.7"/>
    <n v="125.5"/>
    <n v="120.5"/>
    <n v="111"/>
    <n v="102.6"/>
    <n v="111.2"/>
    <n v="113.5"/>
    <n v="118.7"/>
    <n v="117.2"/>
    <n v="1504.1000000000001"/>
    <n v="115.4"/>
    <n v="118.1"/>
    <n v="116.1"/>
    <n v="117.8"/>
    <n v="352"/>
    <s v="NA"/>
    <n v="114.6"/>
    <n v="113.4"/>
    <n v="113.7"/>
    <n v="111.8"/>
    <n v="111.2"/>
    <n v="110.5"/>
    <n v="113"/>
    <n v="108.9"/>
    <n v="111.5"/>
    <n v="555.79999999999995"/>
    <n v="115.4"/>
    <s v="2014 April"/>
  </r>
  <r>
    <x v="1"/>
    <x v="9"/>
    <s v="April"/>
    <n v="122.5"/>
    <n v="121.7"/>
    <n v="113.3"/>
    <n v="117"/>
    <n v="103.1"/>
    <n v="126.7"/>
    <n v="121.2"/>
    <n v="111"/>
    <n v="100.3"/>
    <n v="115.3"/>
    <n v="112.7"/>
    <n v="121"/>
    <n v="118.2"/>
    <n v="1504.0000000000002"/>
    <n v="117.6"/>
    <n v="116.3"/>
    <n v="112.5"/>
    <n v="115.7"/>
    <n v="344.5"/>
    <n v="113.9"/>
    <n v="113.9"/>
    <n v="110.9"/>
    <n v="113.4"/>
    <n v="111"/>
    <n v="111.2"/>
    <n v="111.2"/>
    <n v="112.5"/>
    <n v="109.1"/>
    <n v="111.4"/>
    <n v="556.29999999999995"/>
    <n v="114.7"/>
    <s v="2014 April"/>
  </r>
  <r>
    <x v="2"/>
    <x v="9"/>
    <s v="April"/>
    <n v="120.9"/>
    <n v="119.9"/>
    <n v="116.2"/>
    <n v="117"/>
    <n v="107.3"/>
    <n v="126.1"/>
    <n v="120.7"/>
    <n v="111"/>
    <n v="101.8"/>
    <n v="112.6"/>
    <n v="113.2"/>
    <n v="119.8"/>
    <n v="117.6"/>
    <n v="1504.1"/>
    <n v="116"/>
    <n v="117.4"/>
    <n v="114.6"/>
    <n v="117"/>
    <n v="349"/>
    <n v="113.9"/>
    <n v="113.9"/>
    <n v="112.5"/>
    <n v="113.6"/>
    <n v="111.5"/>
    <n v="111.2"/>
    <n v="110.9"/>
    <n v="112.7"/>
    <n v="109"/>
    <n v="111.5"/>
    <n v="556.20000000000005"/>
    <n v="115.1"/>
    <s v="2014 April"/>
  </r>
  <r>
    <x v="0"/>
    <x v="10"/>
    <s v="September"/>
    <n v="115.4"/>
    <n v="115.7"/>
    <n v="111.7"/>
    <n v="111"/>
    <n v="107.4"/>
    <n v="110.9"/>
    <n v="154"/>
    <n v="108.1"/>
    <n v="104.2"/>
    <n v="107.9"/>
    <n v="110.4"/>
    <n v="114"/>
    <n v="117.8"/>
    <n v="1488.5000000000002"/>
    <n v="111.7"/>
    <n v="112.7"/>
    <n v="111.4"/>
    <n v="112.5"/>
    <n v="336.6"/>
    <s v="NA"/>
    <n v="105.6"/>
    <n v="111.1"/>
    <n v="109.6"/>
    <n v="108.3"/>
    <n v="109.3"/>
    <n v="107.7"/>
    <n v="109.8"/>
    <n v="106.7"/>
    <n v="108.7"/>
    <n v="542"/>
    <n v="114.2"/>
    <s v="2013 September"/>
  </r>
  <r>
    <x v="1"/>
    <x v="10"/>
    <s v="September"/>
    <n v="118.6"/>
    <n v="119.1"/>
    <n v="113.2"/>
    <n v="109.6"/>
    <n v="101.7"/>
    <n v="103.2"/>
    <n v="174.3"/>
    <n v="105.1"/>
    <n v="100.8"/>
    <n v="109.1"/>
    <n v="111.1"/>
    <n v="115.4"/>
    <n v="119.2"/>
    <n v="1500.4"/>
    <n v="112.9"/>
    <n v="111.4"/>
    <n v="109"/>
    <n v="111.1"/>
    <n v="331.5"/>
    <n v="109.7"/>
    <n v="109.7"/>
    <n v="109.5"/>
    <n v="109.6"/>
    <n v="107.9"/>
    <n v="110.4"/>
    <n v="107.4"/>
    <n v="111.2"/>
    <n v="106.9"/>
    <n v="109.4"/>
    <n v="543.69999999999993"/>
    <n v="113.2"/>
    <s v="2013 September"/>
  </r>
  <r>
    <x v="2"/>
    <x v="10"/>
    <s v="September"/>
    <n v="116.4"/>
    <n v="116.9"/>
    <n v="112.3"/>
    <n v="110.5"/>
    <n v="105.3"/>
    <n v="107.3"/>
    <n v="160.9"/>
    <n v="107.1"/>
    <n v="103.1"/>
    <n v="108.3"/>
    <n v="110.7"/>
    <n v="114.6"/>
    <n v="118.3"/>
    <n v="1491.6999999999998"/>
    <n v="112"/>
    <n v="112.2"/>
    <n v="110.4"/>
    <n v="111.9"/>
    <n v="334.5"/>
    <n v="109.7"/>
    <n v="109.7"/>
    <n v="110.5"/>
    <n v="109.6"/>
    <n v="108.1"/>
    <n v="109.9"/>
    <n v="107.5"/>
    <n v="110.6"/>
    <n v="106.8"/>
    <n v="109"/>
    <n v="542.79999999999995"/>
    <n v="113.7"/>
    <s v="2013 September"/>
  </r>
  <r>
    <x v="0"/>
    <x v="10"/>
    <s v="October"/>
    <n v="116.3"/>
    <n v="115.4"/>
    <n v="112.6"/>
    <n v="111.7"/>
    <n v="107.7"/>
    <n v="113.2"/>
    <n v="164.9"/>
    <n v="108.3"/>
    <n v="103.9"/>
    <n v="108.2"/>
    <n v="111.1"/>
    <n v="114.9"/>
    <n v="119.8"/>
    <n v="1508"/>
    <n v="112.2"/>
    <n v="113.6"/>
    <n v="112.3"/>
    <n v="113.4"/>
    <n v="339.29999999999995"/>
    <s v="NA"/>
    <n v="105.6"/>
    <n v="111.6"/>
    <n v="110.4"/>
    <n v="108.9"/>
    <n v="109.3"/>
    <n v="108.3"/>
    <n v="110.2"/>
    <n v="107.5"/>
    <n v="109.1"/>
    <n v="544.6"/>
    <n v="115.5"/>
    <s v="2013 October"/>
  </r>
  <r>
    <x v="1"/>
    <x v="10"/>
    <s v="October"/>
    <n v="118.9"/>
    <n v="118.1"/>
    <n v="114.5"/>
    <n v="110.4"/>
    <n v="102.3"/>
    <n v="106.2"/>
    <n v="183.5"/>
    <n v="105.3"/>
    <n v="100.2"/>
    <n v="109.6"/>
    <n v="111.4"/>
    <n v="116"/>
    <n v="120.8"/>
    <n v="1517.1999999999998"/>
    <n v="113.5"/>
    <n v="112.5"/>
    <n v="109.7"/>
    <n v="112"/>
    <n v="334.2"/>
    <n v="110.5"/>
    <n v="110.5"/>
    <n v="109.7"/>
    <n v="110.2"/>
    <n v="108.2"/>
    <n v="109.7"/>
    <n v="108"/>
    <n v="111.3"/>
    <n v="107.3"/>
    <n v="109.4"/>
    <n v="544.6"/>
    <n v="114"/>
    <s v="2013 October"/>
  </r>
  <r>
    <x v="2"/>
    <x v="10"/>
    <s v="October"/>
    <n v="117.1"/>
    <n v="116.3"/>
    <n v="113.3"/>
    <n v="111.2"/>
    <n v="105.7"/>
    <n v="109.9"/>
    <n v="171.2"/>
    <n v="107.3"/>
    <n v="102.7"/>
    <n v="108.7"/>
    <n v="111.2"/>
    <n v="115.4"/>
    <n v="120.2"/>
    <n v="1510.2000000000003"/>
    <n v="112.5"/>
    <n v="113.2"/>
    <n v="111.2"/>
    <n v="112.8"/>
    <n v="337.2"/>
    <n v="110.5"/>
    <n v="110.5"/>
    <n v="110.9"/>
    <n v="110.3"/>
    <n v="108.6"/>
    <n v="109.5"/>
    <n v="108.1"/>
    <n v="110.8"/>
    <n v="107.4"/>
    <n v="109.2"/>
    <n v="544.5"/>
    <n v="114.8"/>
    <s v="2013 October"/>
  </r>
  <r>
    <x v="0"/>
    <x v="10"/>
    <s v="November "/>
    <n v="117.3"/>
    <n v="114.9"/>
    <n v="116.2"/>
    <n v="112.8"/>
    <n v="108.9"/>
    <n v="116.6"/>
    <n v="178.1"/>
    <n v="109.1"/>
    <n v="103.6"/>
    <n v="109"/>
    <n v="111.8"/>
    <n v="116"/>
    <n v="122.5"/>
    <n v="1536.8"/>
    <n v="112.8"/>
    <n v="114.6"/>
    <n v="113.1"/>
    <n v="114.4"/>
    <n v="342.1"/>
    <s v="NA"/>
    <n v="105.6"/>
    <n v="112.6"/>
    <n v="111.3"/>
    <n v="109.7"/>
    <n v="109.6"/>
    <n v="108.7"/>
    <n v="111"/>
    <n v="108.2"/>
    <n v="109.8"/>
    <n v="547.59999999999991"/>
    <n v="117.4"/>
    <s v="2013 November "/>
  </r>
  <r>
    <x v="1"/>
    <x v="10"/>
    <s v="November"/>
    <n v="119.8"/>
    <n v="116.3"/>
    <n v="122.6"/>
    <n v="112"/>
    <n v="103.2"/>
    <n v="110"/>
    <n v="192.8"/>
    <n v="106.3"/>
    <n v="99.5"/>
    <n v="110.3"/>
    <n v="111.8"/>
    <n v="117.1"/>
    <n v="122.9"/>
    <n v="1544.6"/>
    <n v="114.1"/>
    <n v="113.5"/>
    <n v="110.3"/>
    <n v="113"/>
    <n v="336.8"/>
    <n v="111.1"/>
    <n v="111.1"/>
    <n v="110"/>
    <n v="110.9"/>
    <n v="108.6"/>
    <n v="109.5"/>
    <n v="108.5"/>
    <n v="111.3"/>
    <n v="107.9"/>
    <n v="109.6"/>
    <n v="546.4"/>
    <n v="115"/>
    <s v="2013 November"/>
  </r>
  <r>
    <x v="2"/>
    <x v="10"/>
    <s v="November"/>
    <n v="118.1"/>
    <n v="115.4"/>
    <n v="118.7"/>
    <n v="112.5"/>
    <n v="106.8"/>
    <n v="113.5"/>
    <n v="183.1"/>
    <n v="108.2"/>
    <n v="102.2"/>
    <n v="109.4"/>
    <n v="111.8"/>
    <n v="116.5"/>
    <n v="122.6"/>
    <n v="1538.8"/>
    <n v="113.1"/>
    <n v="114.2"/>
    <n v="111.9"/>
    <n v="113.8"/>
    <n v="339.90000000000003"/>
    <n v="111.1"/>
    <n v="111.1"/>
    <n v="111.6"/>
    <n v="111.1"/>
    <n v="109.3"/>
    <n v="109.5"/>
    <n v="108.6"/>
    <n v="111.2"/>
    <n v="108.1"/>
    <n v="109.7"/>
    <n v="547"/>
    <n v="116.3"/>
    <s v="2013 November"/>
  </r>
  <r>
    <x v="0"/>
    <x v="10"/>
    <s v="May"/>
    <n v="110.9"/>
    <n v="109.8"/>
    <n v="105.9"/>
    <n v="107.5"/>
    <n v="105.3"/>
    <n v="108.1"/>
    <n v="107.3"/>
    <n v="106.1"/>
    <n v="103.7"/>
    <n v="104"/>
    <n v="107.4"/>
    <n v="109.9"/>
    <n v="108.1"/>
    <n v="1394"/>
    <n v="108.1"/>
    <n v="108.8"/>
    <n v="107.9"/>
    <n v="108.6"/>
    <n v="325.29999999999995"/>
    <s v="NA"/>
    <n v="105.6"/>
    <n v="107.5"/>
    <n v="106.8"/>
    <n v="105.7"/>
    <n v="104.1"/>
    <n v="105"/>
    <n v="105.5"/>
    <n v="102.1"/>
    <n v="104.8"/>
    <n v="522.79999999999995"/>
    <n v="107.2"/>
    <s v="2013 May"/>
  </r>
  <r>
    <x v="1"/>
    <x v="10"/>
    <s v="May"/>
    <n v="115.4"/>
    <n v="114.2"/>
    <n v="102.7"/>
    <n v="105.5"/>
    <n v="101.5"/>
    <n v="110.6"/>
    <n v="123.7"/>
    <n v="105.2"/>
    <n v="101.9"/>
    <n v="105"/>
    <n v="109.1"/>
    <n v="111.3"/>
    <n v="111.1"/>
    <n v="1417.1999999999998"/>
    <n v="109.8"/>
    <n v="108.5"/>
    <n v="106.7"/>
    <n v="108.3"/>
    <n v="323.5"/>
    <n v="100.5"/>
    <n v="100.5"/>
    <n v="107.2"/>
    <n v="107.1"/>
    <n v="106.2"/>
    <n v="103.9"/>
    <n v="104.6"/>
    <n v="105.7"/>
    <n v="102.6"/>
    <n v="104.9"/>
    <n v="523.1"/>
    <n v="106.6"/>
    <s v="2013 May"/>
  </r>
  <r>
    <x v="2"/>
    <x v="10"/>
    <s v="May"/>
    <n v="112.3"/>
    <n v="111.3"/>
    <n v="104.7"/>
    <n v="106.8"/>
    <n v="103.9"/>
    <n v="109.3"/>
    <n v="112.9"/>
    <n v="105.8"/>
    <n v="103.1"/>
    <n v="104.3"/>
    <n v="108.1"/>
    <n v="110.5"/>
    <n v="109.2"/>
    <n v="1402.1999999999998"/>
    <n v="108.6"/>
    <n v="108.7"/>
    <n v="107.4"/>
    <n v="108.5"/>
    <n v="324.60000000000002"/>
    <n v="100.5"/>
    <n v="100.5"/>
    <n v="107.4"/>
    <n v="106.9"/>
    <n v="105.9"/>
    <n v="104"/>
    <n v="104.8"/>
    <n v="105.6"/>
    <n v="102.3"/>
    <n v="104.8"/>
    <n v="522.79999999999995"/>
    <n v="106.9"/>
    <s v="2013 May"/>
  </r>
  <r>
    <x v="0"/>
    <x v="10"/>
    <s v="March"/>
    <n v="110.2"/>
    <n v="108.8"/>
    <n v="109.9"/>
    <n v="105.6"/>
    <n v="106.2"/>
    <n v="105.7"/>
    <n v="101.4"/>
    <n v="105.7"/>
    <n v="105"/>
    <n v="103.3"/>
    <n v="105.6"/>
    <n v="108.2"/>
    <n v="106.6"/>
    <n v="1382.2"/>
    <n v="106.5"/>
    <n v="107.6"/>
    <n v="106.8"/>
    <n v="107.5"/>
    <n v="321.89999999999998"/>
    <s v="NA"/>
    <n v="105.6"/>
    <n v="106.1"/>
    <n v="105.6"/>
    <n v="104.7"/>
    <n v="104.6"/>
    <n v="104"/>
    <n v="104.3"/>
    <n v="104.3"/>
    <n v="104.6"/>
    <n v="523.1"/>
    <n v="106"/>
    <s v="2013 March"/>
  </r>
  <r>
    <x v="1"/>
    <x v="10"/>
    <s v="March"/>
    <n v="113.9"/>
    <n v="111.4"/>
    <n v="113.2"/>
    <n v="104.3"/>
    <n v="102.7"/>
    <n v="104.9"/>
    <n v="103.8"/>
    <n v="103.5"/>
    <n v="102.6"/>
    <n v="102.4"/>
    <n v="107"/>
    <n v="109.8"/>
    <n v="107.3"/>
    <n v="1386.8"/>
    <n v="106.8"/>
    <n v="107.2"/>
    <n v="106"/>
    <n v="107"/>
    <n v="320.2"/>
    <n v="100.4"/>
    <n v="100.4"/>
    <n v="106"/>
    <n v="105.7"/>
    <n v="105.2"/>
    <n v="105.5"/>
    <n v="103.5"/>
    <n v="103.8"/>
    <n v="104.2"/>
    <n v="104.9"/>
    <n v="523.79999999999995"/>
    <n v="105"/>
    <s v="2013 March"/>
  </r>
  <r>
    <x v="2"/>
    <x v="10"/>
    <s v="March"/>
    <n v="111.4"/>
    <n v="109.7"/>
    <n v="111.2"/>
    <n v="105.1"/>
    <n v="104.9"/>
    <n v="105.3"/>
    <n v="102.2"/>
    <n v="105"/>
    <n v="104.2"/>
    <n v="103"/>
    <n v="106.2"/>
    <n v="108.9"/>
    <n v="106.9"/>
    <n v="1384.0000000000002"/>
    <n v="106.6"/>
    <n v="107.4"/>
    <n v="106.5"/>
    <n v="107.3"/>
    <n v="321.2"/>
    <n v="100.4"/>
    <n v="100.4"/>
    <n v="106.1"/>
    <n v="105.6"/>
    <n v="104.9"/>
    <n v="105.1"/>
    <n v="103.7"/>
    <n v="104"/>
    <n v="104.3"/>
    <n v="104.7"/>
    <n v="523.4"/>
    <n v="105.5"/>
    <s v="2013 March"/>
  </r>
  <r>
    <x v="0"/>
    <x v="10"/>
    <s v="June"/>
    <n v="112.3"/>
    <n v="112.1"/>
    <n v="108.1"/>
    <n v="108.3"/>
    <n v="105.9"/>
    <n v="109.2"/>
    <n v="118"/>
    <n v="106.8"/>
    <n v="104.1"/>
    <n v="105.4"/>
    <n v="108.2"/>
    <n v="111"/>
    <n v="110.6"/>
    <n v="1420"/>
    <n v="109"/>
    <n v="109.7"/>
    <n v="108.8"/>
    <n v="109.5"/>
    <n v="328"/>
    <s v="NA"/>
    <n v="105.6"/>
    <n v="108.5"/>
    <n v="107.5"/>
    <n v="106.3"/>
    <n v="105"/>
    <n v="105.6"/>
    <n v="106.5"/>
    <n v="102.5"/>
    <n v="105.5"/>
    <n v="526.1"/>
    <n v="108.9"/>
    <s v="2013 June"/>
  </r>
  <r>
    <x v="1"/>
    <x v="10"/>
    <s v="June"/>
    <n v="117"/>
    <n v="120.1"/>
    <n v="112.5"/>
    <n v="107.3"/>
    <n v="101.3"/>
    <n v="112.4"/>
    <n v="143.6"/>
    <n v="105.4"/>
    <n v="101.4"/>
    <n v="106.4"/>
    <n v="110"/>
    <n v="112.2"/>
    <n v="115"/>
    <n v="1464.6000000000001"/>
    <n v="110.9"/>
    <n v="109.2"/>
    <n v="107.2"/>
    <n v="108.9"/>
    <n v="325.3"/>
    <n v="106.6"/>
    <n v="106.6"/>
    <n v="108"/>
    <n v="107.7"/>
    <n v="106.5"/>
    <n v="105.2"/>
    <n v="105.2"/>
    <n v="108.1"/>
    <n v="103.3"/>
    <n v="106.1"/>
    <n v="527.5"/>
    <n v="109.7"/>
    <s v="2013 June"/>
  </r>
  <r>
    <x v="2"/>
    <x v="10"/>
    <s v="June"/>
    <n v="113.8"/>
    <n v="114.9"/>
    <n v="109.8"/>
    <n v="107.9"/>
    <n v="104.2"/>
    <n v="110.7"/>
    <n v="126.7"/>
    <n v="106.3"/>
    <n v="103.2"/>
    <n v="105.7"/>
    <n v="109"/>
    <n v="111.6"/>
    <n v="112.2"/>
    <n v="1436"/>
    <n v="109.5"/>
    <n v="109.5"/>
    <n v="108.1"/>
    <n v="109.3"/>
    <n v="326.89999999999998"/>
    <n v="106.6"/>
    <n v="106.6"/>
    <n v="108.3"/>
    <n v="107.6"/>
    <n v="106.4"/>
    <n v="105.1"/>
    <n v="105.4"/>
    <n v="107.4"/>
    <n v="102.8"/>
    <n v="105.8"/>
    <n v="526.70000000000005"/>
    <n v="109.3"/>
    <s v="2013 June"/>
  </r>
  <r>
    <x v="0"/>
    <x v="10"/>
    <s v="July"/>
    <n v="113.4"/>
    <n v="114.9"/>
    <n v="110.5"/>
    <n v="109.3"/>
    <n v="106.2"/>
    <n v="110.3"/>
    <n v="129.19999999999999"/>
    <n v="107.1"/>
    <n v="104.3"/>
    <n v="106.4"/>
    <n v="109.1"/>
    <n v="112.1"/>
    <n v="113.1"/>
    <n v="1445.8999999999996"/>
    <n v="109.8"/>
    <n v="110.5"/>
    <n v="109.5"/>
    <n v="110.3"/>
    <n v="330.3"/>
    <s v="NA"/>
    <n v="105.6"/>
    <n v="109.5"/>
    <n v="108.3"/>
    <n v="106.9"/>
    <n v="106.8"/>
    <n v="106.4"/>
    <n v="107.8"/>
    <n v="102.5"/>
    <n v="106.5"/>
    <n v="530.5"/>
    <n v="110.7"/>
    <s v="2013 July"/>
  </r>
  <r>
    <x v="1"/>
    <x v="10"/>
    <s v="July"/>
    <n v="117.8"/>
    <n v="119.2"/>
    <n v="114"/>
    <n v="108.3"/>
    <n v="101.1"/>
    <n v="113.2"/>
    <n v="160.9"/>
    <n v="105.1"/>
    <n v="101.3"/>
    <n v="107.5"/>
    <n v="110.4"/>
    <n v="113.1"/>
    <n v="117.5"/>
    <n v="1489.4"/>
    <n v="111.7"/>
    <n v="109.8"/>
    <n v="107.8"/>
    <n v="109.5"/>
    <n v="327.10000000000002"/>
    <n v="107.7"/>
    <n v="107.7"/>
    <n v="108.6"/>
    <n v="108.1"/>
    <n v="107.1"/>
    <n v="107.3"/>
    <n v="105.9"/>
    <n v="110.1"/>
    <n v="103.2"/>
    <n v="107.3"/>
    <n v="531.79999999999995"/>
    <n v="111.4"/>
    <s v="2013 July"/>
  </r>
  <r>
    <x v="2"/>
    <x v="10"/>
    <s v="July"/>
    <n v="114.8"/>
    <n v="116.4"/>
    <n v="111.9"/>
    <n v="108.9"/>
    <n v="104.3"/>
    <n v="111.7"/>
    <n v="140"/>
    <n v="106.4"/>
    <n v="103.3"/>
    <n v="106.8"/>
    <n v="109.6"/>
    <n v="112.6"/>
    <n v="114.7"/>
    <n v="1461.3999999999999"/>
    <n v="110.3"/>
    <n v="110.2"/>
    <n v="108.8"/>
    <n v="110"/>
    <n v="329"/>
    <n v="107.7"/>
    <n v="107.7"/>
    <n v="109.2"/>
    <n v="108.2"/>
    <n v="107"/>
    <n v="107.1"/>
    <n v="106.1"/>
    <n v="109.1"/>
    <n v="102.8"/>
    <n v="106.9"/>
    <n v="531.1"/>
    <n v="111"/>
    <s v="2013 July"/>
  </r>
  <r>
    <x v="0"/>
    <x v="10"/>
    <s v="January"/>
    <n v="107.5"/>
    <n v="106.3"/>
    <n v="108.1"/>
    <n v="104.9"/>
    <n v="106.1"/>
    <n v="103.9"/>
    <n v="101.9"/>
    <n v="106.1"/>
    <n v="106.8"/>
    <n v="103.1"/>
    <n v="104.8"/>
    <n v="106.7"/>
    <n v="105.5"/>
    <n v="1371.6999999999998"/>
    <n v="105.1"/>
    <n v="106.5"/>
    <n v="105.8"/>
    <n v="106.4"/>
    <n v="318.70000000000005"/>
    <s v="NA"/>
    <n v="105.6"/>
    <n v="105.5"/>
    <n v="104.8"/>
    <n v="104"/>
    <n v="103.3"/>
    <n v="103.4"/>
    <n v="103.8"/>
    <n v="104.7"/>
    <n v="104"/>
    <n v="520.20000000000005"/>
    <n v="105.1"/>
    <s v="2013 January"/>
  </r>
  <r>
    <x v="1"/>
    <x v="10"/>
    <s v="January"/>
    <n v="110.5"/>
    <n v="109.1"/>
    <n v="113"/>
    <n v="103.6"/>
    <n v="103.4"/>
    <n v="102.3"/>
    <n v="102.9"/>
    <n v="105.8"/>
    <n v="105.1"/>
    <n v="101.8"/>
    <n v="105.1"/>
    <n v="107.9"/>
    <n v="105.9"/>
    <n v="1376.4"/>
    <n v="105.2"/>
    <n v="105.9"/>
    <n v="105"/>
    <n v="105.8"/>
    <n v="316.7"/>
    <n v="100.3"/>
    <n v="100.3"/>
    <n v="105.4"/>
    <n v="104.8"/>
    <n v="104.1"/>
    <n v="103.2"/>
    <n v="102.9"/>
    <n v="103.5"/>
    <n v="104.3"/>
    <n v="103.7"/>
    <n v="518.9"/>
    <n v="104"/>
    <s v="2013 January"/>
  </r>
  <r>
    <x v="2"/>
    <x v="10"/>
    <s v="January"/>
    <n v="108.4"/>
    <n v="107.3"/>
    <n v="110"/>
    <n v="104.4"/>
    <n v="105.1"/>
    <n v="103.2"/>
    <n v="102.2"/>
    <n v="106"/>
    <n v="106.2"/>
    <n v="102.7"/>
    <n v="104.9"/>
    <n v="107.3"/>
    <n v="105.6"/>
    <n v="1373.3000000000002"/>
    <n v="105.1"/>
    <n v="106.3"/>
    <n v="105.5"/>
    <n v="106.2"/>
    <n v="318"/>
    <n v="100.3"/>
    <n v="100.3"/>
    <n v="105.5"/>
    <n v="104.8"/>
    <n v="104"/>
    <n v="103.2"/>
    <n v="103.1"/>
    <n v="103.6"/>
    <n v="104.5"/>
    <n v="103.9"/>
    <n v="519.5"/>
    <n v="104.6"/>
    <s v="2013 January"/>
  </r>
  <r>
    <x v="0"/>
    <x v="10"/>
    <s v="February"/>
    <n v="109.2"/>
    <n v="108.7"/>
    <n v="110.2"/>
    <n v="105.4"/>
    <n v="106.7"/>
    <n v="104"/>
    <n v="102.4"/>
    <n v="105.9"/>
    <n v="105.7"/>
    <n v="103.1"/>
    <n v="105.1"/>
    <n v="107.7"/>
    <n v="106.3"/>
    <n v="1380.3999999999999"/>
    <n v="105.6"/>
    <n v="107.1"/>
    <n v="106.3"/>
    <n v="107"/>
    <n v="320.39999999999998"/>
    <s v="NA"/>
    <n v="105.6"/>
    <n v="106.2"/>
    <n v="105.2"/>
    <n v="104.4"/>
    <n v="103.9"/>
    <n v="104"/>
    <n v="104.1"/>
    <n v="104.6"/>
    <n v="104.4"/>
    <n v="522.1"/>
    <n v="105.8"/>
    <s v="2013 February"/>
  </r>
  <r>
    <x v="1"/>
    <x v="10"/>
    <s v="February"/>
    <n v="112.9"/>
    <n v="112.9"/>
    <n v="116.9"/>
    <n v="104"/>
    <n v="103.5"/>
    <n v="103.1"/>
    <n v="104.9"/>
    <n v="104.1"/>
    <n v="103.8"/>
    <n v="102.3"/>
    <n v="106"/>
    <n v="109"/>
    <n v="107.2"/>
    <n v="1390.6000000000001"/>
    <n v="106"/>
    <n v="106.6"/>
    <n v="105.5"/>
    <n v="106.4"/>
    <n v="318.5"/>
    <n v="100.4"/>
    <n v="100.4"/>
    <n v="105.7"/>
    <n v="105.2"/>
    <n v="104.7"/>
    <n v="104.4"/>
    <n v="103.3"/>
    <n v="103.7"/>
    <n v="104.3"/>
    <n v="104.3"/>
    <n v="521.5"/>
    <n v="104.7"/>
    <s v="2013 February"/>
  </r>
  <r>
    <x v="2"/>
    <x v="10"/>
    <s v="February"/>
    <n v="110.4"/>
    <n v="110.2"/>
    <n v="112.8"/>
    <n v="104.9"/>
    <n v="105.5"/>
    <n v="103.6"/>
    <n v="103.2"/>
    <n v="105.3"/>
    <n v="105.1"/>
    <n v="102.8"/>
    <n v="105.5"/>
    <n v="108.3"/>
    <n v="106.6"/>
    <n v="1384.2"/>
    <n v="105.7"/>
    <n v="106.9"/>
    <n v="106"/>
    <n v="106.8"/>
    <n v="319.7"/>
    <n v="100.4"/>
    <n v="100.4"/>
    <n v="106"/>
    <n v="105.2"/>
    <n v="104.5"/>
    <n v="104.2"/>
    <n v="103.6"/>
    <n v="103.9"/>
    <n v="104.5"/>
    <n v="104.4"/>
    <n v="521.9"/>
    <n v="105.3"/>
    <s v="2013 February"/>
  </r>
  <r>
    <x v="0"/>
    <x v="10"/>
    <s v="December"/>
    <n v="118.4"/>
    <n v="115.9"/>
    <n v="120.4"/>
    <n v="113.8"/>
    <n v="109.5"/>
    <n v="115.5"/>
    <n v="145.69999999999999"/>
    <n v="109.5"/>
    <n v="102.9"/>
    <n v="109.8"/>
    <n v="112.1"/>
    <n v="116.8"/>
    <n v="118.7"/>
    <n v="1509"/>
    <n v="113.6"/>
    <n v="115.8"/>
    <n v="114"/>
    <n v="115.5"/>
    <n v="345.3"/>
    <s v="NA"/>
    <n v="105.6"/>
    <n v="112.8"/>
    <n v="112.1"/>
    <n v="110.1"/>
    <n v="109.9"/>
    <n v="109.2"/>
    <n v="111.6"/>
    <n v="108.1"/>
    <n v="110.1"/>
    <n v="549.4"/>
    <n v="115.5"/>
    <s v="2013 December"/>
  </r>
  <r>
    <x v="1"/>
    <x v="10"/>
    <s v="December"/>
    <n v="120.5"/>
    <n v="118.1"/>
    <n v="128.5"/>
    <n v="112.8"/>
    <n v="103.4"/>
    <n v="110.7"/>
    <n v="144.80000000000001"/>
    <n v="107.1"/>
    <n v="98.6"/>
    <n v="111.9"/>
    <n v="112.1"/>
    <n v="118.1"/>
    <n v="117.8"/>
    <n v="1504.4"/>
    <n v="115"/>
    <n v="114.2"/>
    <n v="110.9"/>
    <n v="113.7"/>
    <n v="338.8"/>
    <n v="110.7"/>
    <n v="110.7"/>
    <n v="110.4"/>
    <n v="111.3"/>
    <n v="109"/>
    <n v="109.7"/>
    <n v="108.9"/>
    <n v="111.4"/>
    <n v="107.7"/>
    <n v="109.8"/>
    <n v="547.4"/>
    <n v="113.3"/>
    <s v="2013 December"/>
  </r>
  <r>
    <x v="2"/>
    <x v="10"/>
    <s v="December"/>
    <n v="119.1"/>
    <n v="116.7"/>
    <n v="123.5"/>
    <n v="113.4"/>
    <n v="107.3"/>
    <n v="113.3"/>
    <n v="145.4"/>
    <n v="108.7"/>
    <n v="101.5"/>
    <n v="110.5"/>
    <n v="112.1"/>
    <n v="117.4"/>
    <n v="118.4"/>
    <n v="1507.3000000000002"/>
    <n v="114"/>
    <n v="115.2"/>
    <n v="112.7"/>
    <n v="114.8"/>
    <n v="342.7"/>
    <n v="110.7"/>
    <n v="110.7"/>
    <n v="111.9"/>
    <n v="111.7"/>
    <n v="109.7"/>
    <n v="109.8"/>
    <n v="109"/>
    <n v="111.5"/>
    <n v="107.9"/>
    <n v="110"/>
    <n v="548.4"/>
    <n v="114.5"/>
    <s v="2013 December"/>
  </r>
  <r>
    <x v="0"/>
    <x v="10"/>
    <s v="August"/>
    <n v="114.3"/>
    <n v="115.4"/>
    <n v="111.1"/>
    <n v="110"/>
    <n v="106.4"/>
    <n v="110.8"/>
    <n v="138.9"/>
    <n v="107.4"/>
    <n v="104.1"/>
    <n v="106.9"/>
    <n v="109.7"/>
    <n v="112.6"/>
    <n v="114.9"/>
    <n v="1462.5"/>
    <n v="110.7"/>
    <n v="111.3"/>
    <n v="110.2"/>
    <n v="111.1"/>
    <n v="332.6"/>
    <s v="NA"/>
    <n v="105.6"/>
    <n v="109.9"/>
    <n v="108.7"/>
    <n v="107.5"/>
    <n v="107.8"/>
    <n v="106.8"/>
    <n v="108.7"/>
    <n v="105"/>
    <n v="107.5"/>
    <n v="535.79999999999995"/>
    <n v="112.1"/>
    <s v="2013 August"/>
  </r>
  <r>
    <x v="1"/>
    <x v="10"/>
    <s v="August"/>
    <n v="118.3"/>
    <n v="120.4"/>
    <n v="112.7"/>
    <n v="108.9"/>
    <n v="101.1"/>
    <n v="108.7"/>
    <n v="177"/>
    <n v="104.7"/>
    <n v="101"/>
    <n v="108.5"/>
    <n v="110.9"/>
    <n v="114.3"/>
    <n v="119.6"/>
    <n v="1506.1000000000001"/>
    <n v="112.4"/>
    <n v="110.6"/>
    <n v="108.3"/>
    <n v="110.2"/>
    <n v="329.09999999999997"/>
    <n v="108.9"/>
    <n v="108.9"/>
    <n v="109.3"/>
    <n v="108.7"/>
    <n v="107.6"/>
    <n v="108.1"/>
    <n v="106.5"/>
    <n v="110.8"/>
    <n v="106"/>
    <n v="108.3"/>
    <n v="537.6"/>
    <n v="112.7"/>
    <s v="2013 August"/>
  </r>
  <r>
    <x v="2"/>
    <x v="10"/>
    <s v="August"/>
    <n v="115.6"/>
    <n v="117.2"/>
    <n v="111.7"/>
    <n v="109.6"/>
    <n v="104.5"/>
    <n v="109.8"/>
    <n v="151.80000000000001"/>
    <n v="106.5"/>
    <n v="103.1"/>
    <n v="107.4"/>
    <n v="110.2"/>
    <n v="113.4"/>
    <n v="116.6"/>
    <n v="1477.4"/>
    <n v="111.2"/>
    <n v="111"/>
    <n v="109.4"/>
    <n v="110.7"/>
    <n v="331.1"/>
    <n v="108.9"/>
    <n v="108.9"/>
    <n v="109.7"/>
    <n v="108.7"/>
    <n v="107.5"/>
    <n v="108"/>
    <n v="106.6"/>
    <n v="109.9"/>
    <n v="105.4"/>
    <n v="107.9"/>
    <n v="536.59999999999991"/>
    <n v="112.4"/>
    <s v="2013 August"/>
  </r>
  <r>
    <x v="0"/>
    <x v="10"/>
    <s v="April"/>
    <n v="110.2"/>
    <n v="109.5"/>
    <n v="106.9"/>
    <n v="106.3"/>
    <n v="105.7"/>
    <n v="108.3"/>
    <n v="103.4"/>
    <n v="105.7"/>
    <n v="104.2"/>
    <n v="103.2"/>
    <n v="106.5"/>
    <n v="108.8"/>
    <n v="107.1"/>
    <n v="1385.8"/>
    <n v="107.1"/>
    <n v="108.1"/>
    <n v="107.4"/>
    <n v="108"/>
    <n v="323.5"/>
    <s v="NA"/>
    <n v="105.6"/>
    <n v="106.5"/>
    <n v="106.1"/>
    <n v="105.1"/>
    <n v="104.4"/>
    <n v="104.5"/>
    <n v="104.8"/>
    <n v="102.7"/>
    <n v="104.6"/>
    <n v="522.29999999999995"/>
    <n v="106.4"/>
    <s v="2013 April"/>
  </r>
  <r>
    <x v="1"/>
    <x v="10"/>
    <s v="April"/>
    <n v="114.6"/>
    <n v="113.4"/>
    <n v="106"/>
    <n v="104.7"/>
    <n v="102.1"/>
    <n v="109.5"/>
    <n v="109.7"/>
    <n v="104.6"/>
    <n v="102"/>
    <n v="103.5"/>
    <n v="108.2"/>
    <n v="110.6"/>
    <n v="108.8"/>
    <n v="1397.6999999999998"/>
    <n v="108.5"/>
    <n v="107.9"/>
    <n v="106.4"/>
    <n v="107.7"/>
    <n v="322"/>
    <n v="100.5"/>
    <n v="100.5"/>
    <n v="106.4"/>
    <n v="106.5"/>
    <n v="105.7"/>
    <n v="105"/>
    <n v="104"/>
    <n v="105.2"/>
    <n v="103.2"/>
    <n v="105.1"/>
    <n v="523.79999999999995"/>
    <n v="105.7"/>
    <s v="2013 April"/>
  </r>
  <r>
    <x v="2"/>
    <x v="10"/>
    <s v="April"/>
    <n v="111.6"/>
    <n v="110.9"/>
    <n v="106.6"/>
    <n v="105.7"/>
    <n v="104.4"/>
    <n v="108.9"/>
    <n v="105.5"/>
    <n v="105.3"/>
    <n v="103.5"/>
    <n v="103.3"/>
    <n v="107.2"/>
    <n v="109.6"/>
    <n v="107.7"/>
    <n v="1390.2"/>
    <n v="107.5"/>
    <n v="108"/>
    <n v="107"/>
    <n v="107.9"/>
    <n v="322.89999999999998"/>
    <n v="100.5"/>
    <n v="100.5"/>
    <n v="106.5"/>
    <n v="106.3"/>
    <n v="105.3"/>
    <n v="104.7"/>
    <n v="104.2"/>
    <n v="105"/>
    <n v="102.9"/>
    <n v="104.8"/>
    <n v="522.9"/>
    <n v="106.1"/>
    <s v="2013 Apri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266.1999999999998"/>
    <n v="105.1"/>
    <n v="106.5"/>
    <n v="105.8"/>
    <n v="106.4"/>
    <n v="212.3"/>
    <n v="105.6"/>
    <n v="105.5"/>
    <n v="104.8"/>
    <n v="104"/>
    <n v="103.3"/>
    <n v="103.4"/>
    <n v="103.8"/>
    <n v="104.7"/>
    <n v="104"/>
    <n v="624"/>
    <n v="105.1"/>
    <x v="0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270.5"/>
    <n v="105.2"/>
    <n v="105.9"/>
    <n v="105"/>
    <n v="105.8"/>
    <n v="210.9"/>
    <n v="100.3"/>
    <n v="105.4"/>
    <n v="104.8"/>
    <n v="104.1"/>
    <n v="103.2"/>
    <n v="102.9"/>
    <n v="103.5"/>
    <n v="104.3"/>
    <n v="103.7"/>
    <n v="622.79999999999995"/>
    <n v="104"/>
    <x v="0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267.7000000000003"/>
    <n v="105.1"/>
    <n v="106.3"/>
    <n v="105.5"/>
    <n v="106.2"/>
    <n v="211.8"/>
    <n v="100.3"/>
    <n v="105.5"/>
    <n v="104.8"/>
    <n v="104"/>
    <n v="103.2"/>
    <n v="103.1"/>
    <n v="103.6"/>
    <n v="104.5"/>
    <n v="103.9"/>
    <n v="623.20000000000005"/>
    <n v="104.6"/>
    <x v="0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274.0999999999999"/>
    <n v="105.6"/>
    <n v="107.1"/>
    <n v="106.3"/>
    <n v="107"/>
    <n v="213.39999999999998"/>
    <n v="105.6"/>
    <n v="106.2"/>
    <n v="105.2"/>
    <n v="104.4"/>
    <n v="103.9"/>
    <n v="104"/>
    <n v="104.1"/>
    <n v="104.6"/>
    <n v="104.4"/>
    <n v="626.20000000000005"/>
    <n v="105.8"/>
    <x v="1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283.4000000000001"/>
    <n v="106"/>
    <n v="106.6"/>
    <n v="105.5"/>
    <n v="106.4"/>
    <n v="212.1"/>
    <n v="100.4"/>
    <n v="105.7"/>
    <n v="105.2"/>
    <n v="104.7"/>
    <n v="104.4"/>
    <n v="103.3"/>
    <n v="103.7"/>
    <n v="104.3"/>
    <n v="104.3"/>
    <n v="625.6"/>
    <n v="104.7"/>
    <x v="1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277.6000000000001"/>
    <n v="105.7"/>
    <n v="106.9"/>
    <n v="106"/>
    <n v="106.8"/>
    <n v="212.9"/>
    <n v="100.4"/>
    <n v="106"/>
    <n v="105.2"/>
    <n v="104.5"/>
    <n v="104.2"/>
    <n v="103.6"/>
    <n v="103.9"/>
    <n v="104.5"/>
    <n v="104.4"/>
    <n v="625.9"/>
    <n v="105.3"/>
    <x v="1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275.6000000000001"/>
    <n v="106.5"/>
    <n v="107.6"/>
    <n v="106.8"/>
    <n v="107.5"/>
    <n v="214.39999999999998"/>
    <n v="105.6"/>
    <n v="106.1"/>
    <n v="105.6"/>
    <n v="104.7"/>
    <n v="104.6"/>
    <n v="104"/>
    <n v="104.3"/>
    <n v="104.3"/>
    <n v="104.6"/>
    <n v="627.49999999999989"/>
    <n v="106"/>
    <x v="2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279.5"/>
    <n v="106.8"/>
    <n v="107.2"/>
    <n v="106"/>
    <n v="107"/>
    <n v="213.2"/>
    <n v="100.4"/>
    <n v="106"/>
    <n v="105.7"/>
    <n v="105.2"/>
    <n v="105.5"/>
    <n v="103.5"/>
    <n v="103.8"/>
    <n v="104.2"/>
    <n v="104.9"/>
    <n v="627.9"/>
    <n v="105"/>
    <x v="2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277.1000000000001"/>
    <n v="106.6"/>
    <n v="107.4"/>
    <n v="106.5"/>
    <n v="107.3"/>
    <n v="213.9"/>
    <n v="100.4"/>
    <n v="106.1"/>
    <n v="105.6"/>
    <n v="104.9"/>
    <n v="105.1"/>
    <n v="103.7"/>
    <n v="104"/>
    <n v="104.3"/>
    <n v="104.7"/>
    <n v="627.59999999999991"/>
    <n v="105.5"/>
    <x v="2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278.7"/>
    <n v="107.1"/>
    <n v="108.1"/>
    <n v="107.4"/>
    <n v="108"/>
    <n v="215.5"/>
    <n v="105.6"/>
    <n v="106.5"/>
    <n v="106.1"/>
    <n v="105.1"/>
    <n v="104.4"/>
    <n v="104.5"/>
    <n v="104.8"/>
    <n v="102.7"/>
    <n v="104.6"/>
    <n v="627.6"/>
    <n v="106.4"/>
    <x v="3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288.8999999999999"/>
    <n v="108.5"/>
    <n v="107.9"/>
    <n v="106.4"/>
    <n v="107.7"/>
    <n v="214.3"/>
    <n v="100.5"/>
    <n v="106.4"/>
    <n v="106.5"/>
    <n v="105.7"/>
    <n v="105"/>
    <n v="104"/>
    <n v="105.2"/>
    <n v="103.2"/>
    <n v="105.1"/>
    <n v="629.6"/>
    <n v="105.7"/>
    <x v="3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282.5"/>
    <n v="107.5"/>
    <n v="108"/>
    <n v="107"/>
    <n v="107.9"/>
    <n v="215"/>
    <n v="100.5"/>
    <n v="106.5"/>
    <n v="106.3"/>
    <n v="105.3"/>
    <n v="104.7"/>
    <n v="104.2"/>
    <n v="105"/>
    <n v="102.9"/>
    <n v="104.8"/>
    <n v="628.4"/>
    <n v="106.1"/>
    <x v="3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285.9000000000001"/>
    <n v="108.1"/>
    <n v="108.8"/>
    <n v="107.9"/>
    <n v="108.6"/>
    <n v="216.7"/>
    <n v="105.6"/>
    <n v="107.5"/>
    <n v="106.8"/>
    <n v="105.7"/>
    <n v="104.1"/>
    <n v="105"/>
    <n v="105.5"/>
    <n v="102.1"/>
    <n v="104.8"/>
    <n v="629.20000000000005"/>
    <n v="107.2"/>
    <x v="4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306.0999999999999"/>
    <n v="109.8"/>
    <n v="108.5"/>
    <n v="106.7"/>
    <n v="108.3"/>
    <n v="215.2"/>
    <n v="100.5"/>
    <n v="107.2"/>
    <n v="107.1"/>
    <n v="106.2"/>
    <n v="103.9"/>
    <n v="104.6"/>
    <n v="105.7"/>
    <n v="102.6"/>
    <n v="104.9"/>
    <n v="630.10000000000014"/>
    <n v="106.6"/>
    <x v="4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292.9999999999998"/>
    <n v="108.6"/>
    <n v="108.7"/>
    <n v="107.4"/>
    <n v="108.5"/>
    <n v="216.10000000000002"/>
    <n v="100.5"/>
    <n v="107.4"/>
    <n v="106.9"/>
    <n v="105.9"/>
    <n v="104"/>
    <n v="104.8"/>
    <n v="105.6"/>
    <n v="102.3"/>
    <n v="104.8"/>
    <n v="629.5"/>
    <n v="106.9"/>
    <x v="4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309.4000000000001"/>
    <n v="109"/>
    <n v="109.7"/>
    <n v="108.8"/>
    <n v="109.5"/>
    <n v="218.5"/>
    <n v="105.6"/>
    <n v="108.5"/>
    <n v="107.5"/>
    <n v="106.3"/>
    <n v="105"/>
    <n v="105.6"/>
    <n v="106.5"/>
    <n v="102.5"/>
    <n v="105.5"/>
    <n v="633.4"/>
    <n v="108.9"/>
    <x v="5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349.6000000000001"/>
    <n v="110.9"/>
    <n v="109.2"/>
    <n v="107.2"/>
    <n v="108.9"/>
    <n v="216.4"/>
    <n v="106.6"/>
    <n v="108"/>
    <n v="107.7"/>
    <n v="106.5"/>
    <n v="105.2"/>
    <n v="105.2"/>
    <n v="108.1"/>
    <n v="103.3"/>
    <n v="106.1"/>
    <n v="635.99999999999989"/>
    <n v="109.7"/>
    <x v="5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323.8"/>
    <n v="109.5"/>
    <n v="109.5"/>
    <n v="108.1"/>
    <n v="109.3"/>
    <n v="217.6"/>
    <n v="106.6"/>
    <n v="108.3"/>
    <n v="107.6"/>
    <n v="106.4"/>
    <n v="105.1"/>
    <n v="105.4"/>
    <n v="107.4"/>
    <n v="102.8"/>
    <n v="105.8"/>
    <n v="634.69999999999993"/>
    <n v="109.3"/>
    <x v="5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332.7999999999997"/>
    <n v="109.8"/>
    <n v="110.5"/>
    <n v="109.5"/>
    <n v="110.3"/>
    <n v="220"/>
    <n v="105.6"/>
    <n v="109.5"/>
    <n v="108.3"/>
    <n v="106.9"/>
    <n v="106.8"/>
    <n v="106.4"/>
    <n v="107.8"/>
    <n v="102.5"/>
    <n v="106.5"/>
    <n v="638.69999999999993"/>
    <n v="110.7"/>
    <x v="6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371.9"/>
    <n v="111.7"/>
    <n v="109.8"/>
    <n v="107.8"/>
    <n v="109.5"/>
    <n v="217.6"/>
    <n v="107.7"/>
    <n v="108.6"/>
    <n v="108.1"/>
    <n v="107.1"/>
    <n v="107.3"/>
    <n v="105.9"/>
    <n v="110.1"/>
    <n v="103.2"/>
    <n v="107.3"/>
    <n v="641.70000000000005"/>
    <n v="111.4"/>
    <x v="6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346.6999999999998"/>
    <n v="110.3"/>
    <n v="110.2"/>
    <n v="108.8"/>
    <n v="110"/>
    <n v="219"/>
    <n v="107.7"/>
    <n v="109.2"/>
    <n v="108.2"/>
    <n v="107"/>
    <n v="107.1"/>
    <n v="106.1"/>
    <n v="109.1"/>
    <n v="102.8"/>
    <n v="106.9"/>
    <n v="640.29999999999995"/>
    <n v="111"/>
    <x v="6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347.6"/>
    <n v="110.7"/>
    <n v="111.3"/>
    <n v="110.2"/>
    <n v="111.1"/>
    <n v="221.5"/>
    <n v="105.6"/>
    <n v="109.9"/>
    <n v="108.7"/>
    <n v="107.5"/>
    <n v="107.8"/>
    <n v="106.8"/>
    <n v="108.7"/>
    <n v="105"/>
    <n v="107.5"/>
    <n v="644.5"/>
    <n v="112.1"/>
    <x v="7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386.5000000000002"/>
    <n v="112.4"/>
    <n v="110.6"/>
    <n v="108.3"/>
    <n v="110.2"/>
    <n v="218.89999999999998"/>
    <n v="108.9"/>
    <n v="109.3"/>
    <n v="108.7"/>
    <n v="107.6"/>
    <n v="108.1"/>
    <n v="106.5"/>
    <n v="110.8"/>
    <n v="106"/>
    <n v="108.3"/>
    <n v="647.69999999999993"/>
    <n v="112.7"/>
    <x v="7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360.8000000000002"/>
    <n v="111.2"/>
    <n v="111"/>
    <n v="109.4"/>
    <n v="110.7"/>
    <n v="220.4"/>
    <n v="108.9"/>
    <n v="109.7"/>
    <n v="108.7"/>
    <n v="107.5"/>
    <n v="108"/>
    <n v="106.6"/>
    <n v="109.9"/>
    <n v="105.4"/>
    <n v="107.9"/>
    <n v="646.09999999999991"/>
    <n v="112.4"/>
    <x v="7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370.7000000000003"/>
    <n v="111.7"/>
    <n v="112.7"/>
    <n v="111.4"/>
    <n v="112.5"/>
    <n v="224.10000000000002"/>
    <n v="105.6"/>
    <n v="111.1"/>
    <n v="109.6"/>
    <n v="108.3"/>
    <n v="109.3"/>
    <n v="107.7"/>
    <n v="109.8"/>
    <n v="106.7"/>
    <n v="108.7"/>
    <n v="651.4"/>
    <n v="114.2"/>
    <x v="8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381.2"/>
    <n v="112.9"/>
    <n v="111.4"/>
    <n v="109"/>
    <n v="111.1"/>
    <n v="220.4"/>
    <n v="109.7"/>
    <n v="109.5"/>
    <n v="109.6"/>
    <n v="107.9"/>
    <n v="110.4"/>
    <n v="107.4"/>
    <n v="111.2"/>
    <n v="106.9"/>
    <n v="109.4"/>
    <n v="653.4"/>
    <n v="113.2"/>
    <x v="8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373.3999999999999"/>
    <n v="112"/>
    <n v="112.2"/>
    <n v="110.4"/>
    <n v="111.9"/>
    <n v="222.60000000000002"/>
    <n v="109.7"/>
    <n v="110.5"/>
    <n v="109.6"/>
    <n v="108.1"/>
    <n v="109.9"/>
    <n v="107.5"/>
    <n v="110.6"/>
    <n v="106.8"/>
    <n v="109"/>
    <n v="652.5"/>
    <n v="113.7"/>
    <x v="8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388.2"/>
    <n v="112.2"/>
    <n v="113.6"/>
    <n v="112.3"/>
    <n v="113.4"/>
    <n v="225.89999999999998"/>
    <n v="105.6"/>
    <n v="111.6"/>
    <n v="110.4"/>
    <n v="108.9"/>
    <n v="109.3"/>
    <n v="108.3"/>
    <n v="110.2"/>
    <n v="107.5"/>
    <n v="109.1"/>
    <n v="654.6"/>
    <n v="115.5"/>
    <x v="9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396.3999999999999"/>
    <n v="113.5"/>
    <n v="112.5"/>
    <n v="109.7"/>
    <n v="112"/>
    <n v="222.2"/>
    <n v="110.5"/>
    <n v="109.7"/>
    <n v="110.2"/>
    <n v="108.2"/>
    <n v="109.7"/>
    <n v="108"/>
    <n v="111.3"/>
    <n v="107.3"/>
    <n v="109.4"/>
    <n v="654.69999999999993"/>
    <n v="114"/>
    <x v="9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390.0000000000002"/>
    <n v="112.5"/>
    <n v="113.2"/>
    <n v="111.2"/>
    <n v="112.8"/>
    <n v="224.4"/>
    <n v="110.5"/>
    <n v="110.9"/>
    <n v="110.3"/>
    <n v="108.6"/>
    <n v="109.5"/>
    <n v="108.1"/>
    <n v="110.8"/>
    <n v="107.4"/>
    <n v="109.2"/>
    <n v="654.69999999999993"/>
    <n v="114.8"/>
    <x v="9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414.3"/>
    <n v="112.8"/>
    <n v="114.6"/>
    <n v="113.1"/>
    <n v="114.4"/>
    <n v="227.7"/>
    <n v="105.6"/>
    <n v="112.6"/>
    <n v="111.3"/>
    <n v="109.7"/>
    <n v="109.6"/>
    <n v="108.7"/>
    <n v="111"/>
    <n v="108.2"/>
    <n v="109.8"/>
    <n v="658.5"/>
    <n v="117.4"/>
    <x v="10"/>
  </r>
  <r>
    <x v="1"/>
    <x v="0"/>
    <x v="11"/>
    <n v="119.8"/>
    <n v="116.3"/>
    <n v="122.6"/>
    <n v="112"/>
    <n v="103.2"/>
    <n v="110"/>
    <n v="192.8"/>
    <n v="106.3"/>
    <n v="99.5"/>
    <n v="110.3"/>
    <n v="111.8"/>
    <n v="117.1"/>
    <n v="122.9"/>
    <n v="1421.6999999999998"/>
    <n v="114.1"/>
    <n v="113.5"/>
    <n v="110.3"/>
    <n v="113"/>
    <n v="223.8"/>
    <n v="111.1"/>
    <n v="110"/>
    <n v="110.9"/>
    <n v="108.6"/>
    <n v="109.5"/>
    <n v="108.5"/>
    <n v="111.3"/>
    <n v="107.9"/>
    <n v="109.6"/>
    <n v="656.69999999999993"/>
    <n v="115"/>
    <x v="11"/>
  </r>
  <r>
    <x v="2"/>
    <x v="0"/>
    <x v="11"/>
    <n v="118.1"/>
    <n v="115.4"/>
    <n v="118.7"/>
    <n v="112.5"/>
    <n v="106.8"/>
    <n v="113.5"/>
    <n v="183.1"/>
    <n v="108.2"/>
    <n v="102.2"/>
    <n v="109.4"/>
    <n v="111.8"/>
    <n v="116.5"/>
    <n v="122.6"/>
    <n v="1416.2"/>
    <n v="113.1"/>
    <n v="114.2"/>
    <n v="111.9"/>
    <n v="113.8"/>
    <n v="226.10000000000002"/>
    <n v="111.1"/>
    <n v="111.6"/>
    <n v="111.1"/>
    <n v="109.3"/>
    <n v="109.5"/>
    <n v="108.6"/>
    <n v="111.2"/>
    <n v="108.1"/>
    <n v="109.7"/>
    <n v="657.80000000000007"/>
    <n v="116.3"/>
    <x v="11"/>
  </r>
  <r>
    <x v="0"/>
    <x v="0"/>
    <x v="12"/>
    <n v="118.4"/>
    <n v="115.9"/>
    <n v="120.4"/>
    <n v="113.8"/>
    <n v="109.5"/>
    <n v="115.5"/>
    <n v="145.69999999999999"/>
    <n v="109.5"/>
    <n v="102.9"/>
    <n v="109.8"/>
    <n v="112.1"/>
    <n v="116.8"/>
    <n v="118.7"/>
    <n v="1390.3"/>
    <n v="113.6"/>
    <n v="115.8"/>
    <n v="114"/>
    <n v="115.5"/>
    <n v="229.8"/>
    <n v="105.6"/>
    <n v="112.8"/>
    <n v="112.1"/>
    <n v="110.1"/>
    <n v="109.9"/>
    <n v="109.2"/>
    <n v="111.6"/>
    <n v="108.1"/>
    <n v="110.1"/>
    <n v="661"/>
    <n v="115.5"/>
    <x v="12"/>
  </r>
  <r>
    <x v="1"/>
    <x v="0"/>
    <x v="12"/>
    <n v="120.5"/>
    <n v="118.1"/>
    <n v="128.5"/>
    <n v="112.8"/>
    <n v="103.4"/>
    <n v="110.7"/>
    <n v="144.80000000000001"/>
    <n v="107.1"/>
    <n v="98.6"/>
    <n v="111.9"/>
    <n v="112.1"/>
    <n v="118.1"/>
    <n v="117.8"/>
    <n v="1386.6000000000001"/>
    <n v="115"/>
    <n v="114.2"/>
    <n v="110.9"/>
    <n v="113.7"/>
    <n v="225.10000000000002"/>
    <n v="110.7"/>
    <n v="110.4"/>
    <n v="111.3"/>
    <n v="109"/>
    <n v="109.7"/>
    <n v="108.9"/>
    <n v="111.4"/>
    <n v="107.7"/>
    <n v="109.8"/>
    <n v="658"/>
    <n v="113.3"/>
    <x v="12"/>
  </r>
  <r>
    <x v="2"/>
    <x v="0"/>
    <x v="12"/>
    <n v="119.1"/>
    <n v="116.7"/>
    <n v="123.5"/>
    <n v="113.4"/>
    <n v="107.3"/>
    <n v="113.3"/>
    <n v="145.4"/>
    <n v="108.7"/>
    <n v="101.5"/>
    <n v="110.5"/>
    <n v="112.1"/>
    <n v="117.4"/>
    <n v="118.4"/>
    <n v="1388.9"/>
    <n v="114"/>
    <n v="115.2"/>
    <n v="112.7"/>
    <n v="114.8"/>
    <n v="227.9"/>
    <n v="110.7"/>
    <n v="111.9"/>
    <n v="111.7"/>
    <n v="109.7"/>
    <n v="109.8"/>
    <n v="109"/>
    <n v="111.5"/>
    <n v="107.9"/>
    <n v="110"/>
    <n v="659.6"/>
    <n v="114.5"/>
    <x v="12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370.6000000000001"/>
    <n v="114"/>
    <n v="116.5"/>
    <n v="114.5"/>
    <n v="116.2"/>
    <n v="231"/>
    <n v="114.6"/>
    <n v="113"/>
    <n v="112.6"/>
    <n v="110.6"/>
    <n v="110.5"/>
    <n v="109.6"/>
    <n v="111.8"/>
    <n v="108.3"/>
    <n v="110.6"/>
    <n v="663.39999999999986"/>
    <n v="114.2"/>
    <x v="13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368.8"/>
    <n v="115.7"/>
    <n v="114.8"/>
    <n v="111.3"/>
    <n v="114.3"/>
    <n v="226.1"/>
    <n v="111.6"/>
    <n v="111"/>
    <n v="111.9"/>
    <n v="109.7"/>
    <n v="110.8"/>
    <n v="109.8"/>
    <n v="111.5"/>
    <n v="108"/>
    <n v="110.5"/>
    <n v="661.7"/>
    <n v="112.9"/>
    <x v="13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369.9999999999998"/>
    <n v="114.5"/>
    <n v="115.8"/>
    <n v="113.2"/>
    <n v="115.4"/>
    <n v="229"/>
    <n v="111.6"/>
    <n v="112.2"/>
    <n v="112.3"/>
    <n v="110.3"/>
    <n v="110.7"/>
    <n v="109.7"/>
    <n v="111.6"/>
    <n v="108.2"/>
    <n v="110.6"/>
    <n v="662.80000000000007"/>
    <n v="113.6"/>
    <x v="13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366.9"/>
    <n v="114.2"/>
    <n v="117.1"/>
    <n v="114.5"/>
    <n v="116.7"/>
    <n v="231.6"/>
    <n v="114.6"/>
    <n v="113.2"/>
    <n v="112.9"/>
    <n v="110.9"/>
    <n v="110.8"/>
    <n v="109.9"/>
    <n v="112"/>
    <n v="108.7"/>
    <n v="110.9"/>
    <n v="665.2"/>
    <n v="114"/>
    <x v="14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360.8"/>
    <n v="116.2"/>
    <n v="115.3"/>
    <n v="111.7"/>
    <n v="114.7"/>
    <n v="227"/>
    <n v="112.5"/>
    <n v="111.1"/>
    <n v="112.6"/>
    <n v="110.4"/>
    <n v="111.3"/>
    <n v="110.3"/>
    <n v="111.6"/>
    <n v="108.7"/>
    <n v="111"/>
    <n v="664.90000000000009"/>
    <n v="113.1"/>
    <x v="14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364.8"/>
    <n v="114.7"/>
    <n v="116.4"/>
    <n v="113.3"/>
    <n v="115.9"/>
    <n v="229.7"/>
    <n v="112.5"/>
    <n v="112.4"/>
    <n v="112.8"/>
    <n v="110.7"/>
    <n v="111.1"/>
    <n v="110.1"/>
    <n v="111.8"/>
    <n v="108.7"/>
    <n v="110.9"/>
    <n v="665.2"/>
    <n v="113.6"/>
    <x v="14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375.2"/>
    <n v="114.6"/>
    <n v="117.5"/>
    <n v="114.9"/>
    <n v="117.2"/>
    <n v="232.4"/>
    <n v="114.6"/>
    <n v="113.4"/>
    <n v="113.4"/>
    <n v="111.4"/>
    <n v="111.2"/>
    <n v="110.2"/>
    <n v="112.4"/>
    <n v="108.9"/>
    <n v="111.3"/>
    <n v="667.5"/>
    <n v="114.6"/>
    <x v="15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367"/>
    <n v="116.7"/>
    <n v="115.8"/>
    <n v="112.1"/>
    <n v="115.2"/>
    <n v="227.89999999999998"/>
    <n v="113.2"/>
    <n v="110.9"/>
    <n v="113"/>
    <n v="110.8"/>
    <n v="111.6"/>
    <n v="110.9"/>
    <n v="111.8"/>
    <n v="109.2"/>
    <n v="111.4"/>
    <n v="667.3"/>
    <n v="113.7"/>
    <x v="15"/>
  </r>
  <r>
    <x v="2"/>
    <x v="1"/>
    <x v="2"/>
    <n v="120.7"/>
    <n v="119.3"/>
    <n v="121"/>
    <n v="116.1"/>
    <n v="106.9"/>
    <n v="118.7"/>
    <n v="116.3"/>
    <n v="109.8"/>
    <n v="99.6"/>
    <n v="111.8"/>
    <n v="112.7"/>
    <n v="119.3"/>
    <n v="116.1"/>
    <n v="1372.1999999999998"/>
    <n v="115.2"/>
    <n v="116.8"/>
    <n v="113.7"/>
    <n v="116.4"/>
    <n v="230.5"/>
    <n v="113.2"/>
    <n v="112.5"/>
    <n v="113.2"/>
    <n v="111.2"/>
    <n v="111.4"/>
    <n v="110.6"/>
    <n v="112"/>
    <n v="109"/>
    <n v="111.3"/>
    <n v="667.4"/>
    <n v="114.2"/>
    <x v="15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386.9"/>
    <n v="115.4"/>
    <n v="118.1"/>
    <n v="116.1"/>
    <n v="117.8"/>
    <n v="234.2"/>
    <n v="114.6"/>
    <n v="113.4"/>
    <n v="113.7"/>
    <n v="111.8"/>
    <n v="111.2"/>
    <n v="110.5"/>
    <n v="113"/>
    <n v="108.9"/>
    <n v="111.5"/>
    <n v="669.1"/>
    <n v="115.4"/>
    <x v="16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385.8000000000002"/>
    <n v="117.6"/>
    <n v="116.3"/>
    <n v="112.5"/>
    <n v="115.7"/>
    <n v="228.8"/>
    <n v="113.9"/>
    <n v="110.9"/>
    <n v="113.4"/>
    <n v="111"/>
    <n v="111.2"/>
    <n v="111.2"/>
    <n v="112.5"/>
    <n v="109.1"/>
    <n v="111.4"/>
    <n v="668.4"/>
    <n v="114.7"/>
    <x v="16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386.5"/>
    <n v="116"/>
    <n v="117.4"/>
    <n v="114.6"/>
    <n v="117"/>
    <n v="232"/>
    <n v="113.9"/>
    <n v="112.5"/>
    <n v="113.6"/>
    <n v="111.5"/>
    <n v="111.2"/>
    <n v="110.9"/>
    <n v="112.7"/>
    <n v="109"/>
    <n v="111.5"/>
    <n v="668.90000000000009"/>
    <n v="115.1"/>
    <x v="16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395.6999999999998"/>
    <n v="116.3"/>
    <n v="118.7"/>
    <n v="116.8"/>
    <n v="118.5"/>
    <n v="235.5"/>
    <n v="114.6"/>
    <n v="113.4"/>
    <n v="114.1"/>
    <n v="112.1"/>
    <n v="111.4"/>
    <n v="110.9"/>
    <n v="113.1"/>
    <n v="108.9"/>
    <n v="111.8"/>
    <n v="670.5"/>
    <n v="116"/>
    <x v="17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405.3000000000002"/>
    <n v="118.3"/>
    <n v="116.8"/>
    <n v="112.9"/>
    <n v="116.2"/>
    <n v="229.7"/>
    <n v="114.3"/>
    <n v="111.1"/>
    <n v="114.1"/>
    <n v="111.2"/>
    <n v="111.3"/>
    <n v="111.5"/>
    <n v="112.9"/>
    <n v="109.3"/>
    <n v="111.7"/>
    <n v="670.3"/>
    <n v="115.6"/>
    <x v="17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399.6000000000004"/>
    <n v="116.8"/>
    <n v="118"/>
    <n v="115.2"/>
    <n v="117.6"/>
    <n v="233.2"/>
    <n v="114.3"/>
    <n v="112.5"/>
    <n v="114.1"/>
    <n v="111.8"/>
    <n v="111.3"/>
    <n v="111.2"/>
    <n v="113"/>
    <n v="109.1"/>
    <n v="111.8"/>
    <n v="670.5"/>
    <n v="115.8"/>
    <x v="17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406.1999999999998"/>
    <n v="117.3"/>
    <n v="119.7"/>
    <n v="117.3"/>
    <n v="119.3"/>
    <n v="237"/>
    <n v="114.6"/>
    <n v="114.4"/>
    <n v="114.9"/>
    <n v="112.8"/>
    <n v="112.2"/>
    <n v="111.4"/>
    <n v="114.3"/>
    <n v="108"/>
    <n v="112.3"/>
    <n v="673.59999999999991"/>
    <n v="117"/>
    <x v="18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425"/>
    <n v="119"/>
    <n v="117.4"/>
    <n v="113.2"/>
    <n v="116.7"/>
    <n v="230.60000000000002"/>
    <n v="113.9"/>
    <n v="111.2"/>
    <n v="114.3"/>
    <n v="111.4"/>
    <n v="111.5"/>
    <n v="111.8"/>
    <n v="115.1"/>
    <n v="108.7"/>
    <n v="112.2"/>
    <n v="672.80000000000007"/>
    <n v="116.4"/>
    <x v="18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413.3000000000002"/>
    <n v="117.8"/>
    <n v="118.8"/>
    <n v="115.6"/>
    <n v="118.3"/>
    <n v="234.39999999999998"/>
    <n v="113.9"/>
    <n v="113.2"/>
    <n v="114.6"/>
    <n v="112.3"/>
    <n v="111.8"/>
    <n v="111.6"/>
    <n v="114.8"/>
    <n v="108.3"/>
    <n v="112.3"/>
    <n v="673.39999999999986"/>
    <n v="116.7"/>
    <x v="18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439.9"/>
    <n v="118"/>
    <n v="120.7"/>
    <n v="118.3"/>
    <n v="120.3"/>
    <n v="239"/>
    <n v="114.6"/>
    <n v="115.3"/>
    <n v="115.4"/>
    <n v="113.4"/>
    <n v="113.2"/>
    <n v="111.8"/>
    <n v="115.5"/>
    <n v="108.8"/>
    <n v="113.1"/>
    <n v="678.09999999999991"/>
    <n v="119.5"/>
    <x v="19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472.4"/>
    <n v="121"/>
    <n v="118"/>
    <n v="113.6"/>
    <n v="117.4"/>
    <n v="231.6"/>
    <n v="114.8"/>
    <n v="111.6"/>
    <n v="114.9"/>
    <n v="111.5"/>
    <n v="113"/>
    <n v="112.4"/>
    <n v="117.8"/>
    <n v="109.7"/>
    <n v="113.5"/>
    <n v="679.3"/>
    <n v="118.9"/>
    <x v="19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451.6"/>
    <n v="118.8"/>
    <n v="119.6"/>
    <n v="116.3"/>
    <n v="119.1"/>
    <n v="235.89999999999998"/>
    <n v="114.8"/>
    <n v="113.9"/>
    <n v="115.2"/>
    <n v="112.7"/>
    <n v="113.1"/>
    <n v="112.1"/>
    <n v="116.8"/>
    <n v="109.2"/>
    <n v="113.3"/>
    <n v="679.1"/>
    <n v="119.2"/>
    <x v="19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456.9999999999998"/>
    <n v="118.8"/>
    <n v="120.9"/>
    <n v="118.8"/>
    <n v="120.7"/>
    <n v="239.7"/>
    <n v="114.6"/>
    <n v="115.4"/>
    <n v="115.9"/>
    <n v="114"/>
    <n v="113.2"/>
    <n v="112.2"/>
    <n v="116.2"/>
    <n v="109.4"/>
    <n v="113.5"/>
    <n v="680.9"/>
    <n v="120.7"/>
    <x v="20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488.1"/>
    <n v="123"/>
    <n v="118.6"/>
    <n v="114.1"/>
    <n v="117.9"/>
    <n v="232.7"/>
    <n v="115.5"/>
    <n v="111.8"/>
    <n v="115.3"/>
    <n v="112.2"/>
    <n v="112.5"/>
    <n v="112.9"/>
    <n v="119.2"/>
    <n v="110.5"/>
    <n v="113.9"/>
    <n v="682.6"/>
    <n v="119.9"/>
    <x v="20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467.8999999999999"/>
    <n v="119.9"/>
    <n v="120"/>
    <n v="116.8"/>
    <n v="119.6"/>
    <n v="236.8"/>
    <n v="115.5"/>
    <n v="114"/>
    <n v="115.6"/>
    <n v="113.3"/>
    <n v="112.8"/>
    <n v="112.6"/>
    <n v="118"/>
    <n v="109.9"/>
    <n v="113.7"/>
    <n v="682.19999999999993"/>
    <n v="120.3"/>
    <x v="20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457.9"/>
    <n v="119.5"/>
    <n v="121.7"/>
    <n v="119.2"/>
    <n v="121.3"/>
    <n v="240.9"/>
    <n v="114.6"/>
    <n v="115.8"/>
    <n v="116.7"/>
    <n v="114.5"/>
    <n v="112.8"/>
    <n v="112.6"/>
    <n v="116.6"/>
    <n v="109.1"/>
    <n v="113.7"/>
    <n v="682.30000000000007"/>
    <n v="120.9"/>
    <x v="21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467.0000000000002"/>
    <n v="124.3"/>
    <n v="119.2"/>
    <n v="114.5"/>
    <n v="118.4"/>
    <n v="233.7"/>
    <n v="116.1"/>
    <n v="111.8"/>
    <n v="115.5"/>
    <n v="112.3"/>
    <n v="111.2"/>
    <n v="113.4"/>
    <n v="120"/>
    <n v="110"/>
    <n v="113.6"/>
    <n v="682.4"/>
    <n v="119.2"/>
    <x v="21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460.2999999999997"/>
    <n v="120.8"/>
    <n v="120.7"/>
    <n v="117.2"/>
    <n v="120.1"/>
    <n v="237.9"/>
    <n v="116.1"/>
    <n v="114.3"/>
    <n v="116.1"/>
    <n v="113.7"/>
    <n v="112"/>
    <n v="113.1"/>
    <n v="118.6"/>
    <n v="109.5"/>
    <n v="113.7"/>
    <n v="683"/>
    <n v="120.1"/>
    <x v="21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456.1"/>
    <n v="120"/>
    <n v="122.7"/>
    <n v="120.3"/>
    <n v="122.3"/>
    <n v="243"/>
    <n v="114.6"/>
    <n v="116.4"/>
    <n v="117.5"/>
    <n v="115.3"/>
    <n v="112.6"/>
    <n v="113"/>
    <n v="116.9"/>
    <n v="109.3"/>
    <n v="114"/>
    <n v="684.59999999999991"/>
    <n v="121"/>
    <x v="22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461.7"/>
    <n v="124.3"/>
    <n v="119.6"/>
    <n v="114.9"/>
    <n v="118.9"/>
    <n v="234.5"/>
    <n v="116.7"/>
    <n v="112"/>
    <n v="115.8"/>
    <n v="112.6"/>
    <n v="111"/>
    <n v="113.6"/>
    <n v="120.2"/>
    <n v="110.1"/>
    <n v="113.7"/>
    <n v="683.30000000000007"/>
    <n v="119.1"/>
    <x v="22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457.3"/>
    <n v="121.1"/>
    <n v="121.5"/>
    <n v="118.1"/>
    <n v="121"/>
    <n v="239.6"/>
    <n v="116.7"/>
    <n v="114.7"/>
    <n v="116.7"/>
    <n v="114.3"/>
    <n v="111.8"/>
    <n v="113.3"/>
    <n v="118.8"/>
    <n v="109.6"/>
    <n v="113.9"/>
    <n v="684.5"/>
    <n v="120.1"/>
    <x v="22"/>
  </r>
  <r>
    <x v="0"/>
    <x v="1"/>
    <x v="11"/>
    <n v="122.7"/>
    <n v="122.6"/>
    <n v="119.9"/>
    <n v="124"/>
    <n v="110.5"/>
    <n v="128.80000000000001"/>
    <n v="152"/>
    <n v="116.2"/>
    <n v="103.3"/>
    <n v="115.8"/>
    <n v="116.8"/>
    <n v="124.5"/>
    <n v="124.9"/>
    <n v="1457.1"/>
    <n v="120.8"/>
    <n v="123.3"/>
    <n v="120.5"/>
    <n v="122.9"/>
    <n v="243.8"/>
    <n v="114.6"/>
    <n v="117.3"/>
    <n v="118.1"/>
    <n v="115.9"/>
    <n v="112"/>
    <n v="113.3"/>
    <n v="117.2"/>
    <n v="108.8"/>
    <n v="114.1"/>
    <n v="685.3"/>
    <n v="121.1"/>
    <x v="23"/>
  </r>
  <r>
    <x v="1"/>
    <x v="1"/>
    <x v="11"/>
    <n v="124.5"/>
    <n v="125.6"/>
    <n v="122.7"/>
    <n v="124.6"/>
    <n v="103.2"/>
    <n v="122.2"/>
    <n v="153.19999999999999"/>
    <n v="119.3"/>
    <n v="99.8"/>
    <n v="124.6"/>
    <n v="115.8"/>
    <n v="126.9"/>
    <n v="125.4"/>
    <n v="1462.3999999999999"/>
    <n v="125.8"/>
    <n v="120.3"/>
    <n v="115.4"/>
    <n v="119.5"/>
    <n v="235.7"/>
    <n v="117.1"/>
    <n v="112.6"/>
    <n v="116.4"/>
    <n v="113"/>
    <n v="109.7"/>
    <n v="114"/>
    <n v="120.3"/>
    <n v="109.6"/>
    <n v="113.4"/>
    <n v="683"/>
    <n v="119"/>
    <x v="23"/>
  </r>
  <r>
    <x v="2"/>
    <x v="1"/>
    <x v="11"/>
    <n v="123.3"/>
    <n v="123.7"/>
    <n v="121"/>
    <n v="124.2"/>
    <n v="107.8"/>
    <n v="125.7"/>
    <n v="152.4"/>
    <n v="117.2"/>
    <n v="102.1"/>
    <n v="118.7"/>
    <n v="116.4"/>
    <n v="125.6"/>
    <n v="125.1"/>
    <n v="1458.1000000000001"/>
    <n v="122.1"/>
    <n v="122.1"/>
    <n v="118.4"/>
    <n v="121.6"/>
    <n v="240.5"/>
    <n v="117.1"/>
    <n v="115.5"/>
    <n v="117.3"/>
    <n v="114.8"/>
    <n v="110.8"/>
    <n v="113.7"/>
    <n v="119"/>
    <n v="109.1"/>
    <n v="113.8"/>
    <n v="684.69999999999993"/>
    <n v="120.1"/>
    <x v="23"/>
  </r>
  <r>
    <x v="0"/>
    <x v="1"/>
    <x v="12"/>
    <n v="122.4"/>
    <n v="122.4"/>
    <n v="121.8"/>
    <n v="124.2"/>
    <n v="110.2"/>
    <n v="128.6"/>
    <n v="140.30000000000001"/>
    <n v="116.3"/>
    <n v="102"/>
    <n v="116"/>
    <n v="117.3"/>
    <n v="124.8"/>
    <n v="123.3"/>
    <n v="1446.3"/>
    <n v="121.7"/>
    <n v="123.8"/>
    <n v="120.6"/>
    <n v="123.3"/>
    <n v="244.39999999999998"/>
    <n v="114.6"/>
    <n v="117.4"/>
    <n v="118.2"/>
    <n v="116.2"/>
    <n v="111.5"/>
    <n v="113.3"/>
    <n v="117.7"/>
    <n v="109.4"/>
    <n v="114.2"/>
    <n v="686.3"/>
    <n v="120.3"/>
    <x v="24"/>
  </r>
  <r>
    <x v="1"/>
    <x v="1"/>
    <x v="12"/>
    <n v="124"/>
    <n v="124.7"/>
    <n v="126.3"/>
    <n v="124.9"/>
    <n v="103"/>
    <n v="122.3"/>
    <n v="141"/>
    <n v="120.1"/>
    <n v="97.8"/>
    <n v="125.4"/>
    <n v="116.1"/>
    <n v="127.6"/>
    <n v="124"/>
    <n v="1453.1999999999998"/>
    <n v="126.4"/>
    <n v="120.7"/>
    <n v="115.8"/>
    <n v="120"/>
    <n v="236.5"/>
    <n v="116.5"/>
    <n v="113"/>
    <n v="116.8"/>
    <n v="113.2"/>
    <n v="108.8"/>
    <n v="114.3"/>
    <n v="120.7"/>
    <n v="110.4"/>
    <n v="113.4"/>
    <n v="684.2"/>
    <n v="118.4"/>
    <x v="24"/>
  </r>
  <r>
    <x v="2"/>
    <x v="1"/>
    <x v="12"/>
    <n v="122.9"/>
    <n v="123.2"/>
    <n v="123.5"/>
    <n v="124.5"/>
    <n v="107.6"/>
    <n v="125.7"/>
    <n v="140.5"/>
    <n v="117.6"/>
    <n v="100.6"/>
    <n v="119.1"/>
    <n v="116.8"/>
    <n v="126.1"/>
    <n v="123.6"/>
    <n v="1448.1"/>
    <n v="123"/>
    <n v="122.6"/>
    <n v="118.6"/>
    <n v="122"/>
    <n v="241.2"/>
    <n v="116.5"/>
    <n v="115.7"/>
    <n v="117.5"/>
    <n v="115.1"/>
    <n v="110.1"/>
    <n v="113.9"/>
    <n v="119.5"/>
    <n v="109.8"/>
    <n v="113.8"/>
    <n v="685.9"/>
    <n v="119.4"/>
    <x v="24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445.3"/>
    <n v="122.7"/>
    <n v="124.4"/>
    <n v="121.6"/>
    <n v="124"/>
    <n v="246"/>
    <n v="120.1"/>
    <n v="118.4"/>
    <n v="118.9"/>
    <n v="116.6"/>
    <n v="111"/>
    <n v="114"/>
    <n v="118.2"/>
    <n v="110.2"/>
    <n v="114.5"/>
    <n v="688.90000000000009"/>
    <n v="120.3"/>
    <x v="25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451.3999999999999"/>
    <n v="127.4"/>
    <n v="121"/>
    <n v="116.1"/>
    <n v="120.2"/>
    <n v="237.1"/>
    <n v="117.3"/>
    <n v="113.4"/>
    <n v="117.2"/>
    <n v="113.7"/>
    <n v="107.9"/>
    <n v="114.6"/>
    <n v="120.8"/>
    <n v="111.4"/>
    <n v="113.4"/>
    <n v="685.59999999999991"/>
    <n v="118.5"/>
    <x v="25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446.2"/>
    <n v="124"/>
    <n v="123.1"/>
    <n v="119.3"/>
    <n v="122.5"/>
    <n v="242.39999999999998"/>
    <n v="117.3"/>
    <n v="116.5"/>
    <n v="118.1"/>
    <n v="115.5"/>
    <n v="109.4"/>
    <n v="114.3"/>
    <n v="119.7"/>
    <n v="110.7"/>
    <n v="114"/>
    <n v="687.7"/>
    <n v="119.5"/>
    <x v="25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447.7999999999997"/>
    <n v="124.2"/>
    <n v="125.4"/>
    <n v="122.7"/>
    <n v="125"/>
    <n v="248.10000000000002"/>
    <n v="120.1"/>
    <n v="120"/>
    <n v="119.6"/>
    <n v="117.7"/>
    <n v="110.9"/>
    <n v="114.8"/>
    <n v="118.7"/>
    <n v="110.8"/>
    <n v="115"/>
    <n v="692.5"/>
    <n v="120.6"/>
    <x v="26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447.4"/>
    <n v="128.1"/>
    <n v="121.3"/>
    <n v="116.5"/>
    <n v="120.6"/>
    <n v="237.8"/>
    <n v="118.1"/>
    <n v="114"/>
    <n v="117.7"/>
    <n v="114.1"/>
    <n v="106.8"/>
    <n v="114.9"/>
    <n v="120.4"/>
    <n v="111.7"/>
    <n v="113.2"/>
    <n v="685.6"/>
    <n v="118.7"/>
    <x v="26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446.2999999999997"/>
    <n v="125.2"/>
    <n v="123.8"/>
    <n v="120.1"/>
    <n v="123.3"/>
    <n v="243.89999999999998"/>
    <n v="118.1"/>
    <n v="117.7"/>
    <n v="118.7"/>
    <n v="116.3"/>
    <n v="108.7"/>
    <n v="114.9"/>
    <n v="119.7"/>
    <n v="111.2"/>
    <n v="114.1"/>
    <n v="689.50000000000011"/>
    <n v="119.7"/>
    <x v="26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448.4"/>
    <n v="124.7"/>
    <n v="126"/>
    <n v="122.9"/>
    <n v="125.5"/>
    <n v="248.9"/>
    <n v="120.1"/>
    <n v="120.6"/>
    <n v="120.2"/>
    <n v="118.2"/>
    <n v="111.6"/>
    <n v="115.5"/>
    <n v="119.4"/>
    <n v="110.8"/>
    <n v="115.5"/>
    <n v="695.69999999999993"/>
    <n v="121.1"/>
    <x v="27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444.1000000000001"/>
    <n v="128.80000000000001"/>
    <n v="121.7"/>
    <n v="116.9"/>
    <n v="120.9"/>
    <n v="238.60000000000002"/>
    <n v="118.6"/>
    <n v="114.4"/>
    <n v="118"/>
    <n v="114.3"/>
    <n v="108.4"/>
    <n v="115.4"/>
    <n v="120.6"/>
    <n v="111.3"/>
    <n v="113.8"/>
    <n v="688"/>
    <n v="119.1"/>
    <x v="27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445.6999999999998"/>
    <n v="125.8"/>
    <n v="124.3"/>
    <n v="120.4"/>
    <n v="123.7"/>
    <n v="244.7"/>
    <n v="118.6"/>
    <n v="118.3"/>
    <n v="119.2"/>
    <n v="116.7"/>
    <n v="109.9"/>
    <n v="115.4"/>
    <n v="120.1"/>
    <n v="111"/>
    <n v="114.7"/>
    <n v="692.30000000000007"/>
    <n v="120.2"/>
    <x v="27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453.6000000000001"/>
    <n v="125.7"/>
    <n v="126.4"/>
    <n v="123.3"/>
    <n v="126"/>
    <n v="249.7"/>
    <n v="120.1"/>
    <n v="121.2"/>
    <n v="120.9"/>
    <n v="118.6"/>
    <n v="111.9"/>
    <n v="116.2"/>
    <n v="119.9"/>
    <n v="111.6"/>
    <n v="116"/>
    <n v="699.1"/>
    <n v="121.5"/>
    <x v="28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451.5"/>
    <n v="130.1"/>
    <n v="122.1"/>
    <n v="117.2"/>
    <n v="121.3"/>
    <n v="239.3"/>
    <n v="119.2"/>
    <n v="114.7"/>
    <n v="118.4"/>
    <n v="114.6"/>
    <n v="108.4"/>
    <n v="115.6"/>
    <n v="121.7"/>
    <n v="111.8"/>
    <n v="114.2"/>
    <n v="690.5"/>
    <n v="119.7"/>
    <x v="28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451.7"/>
    <n v="126.9"/>
    <n v="124.7"/>
    <n v="120.8"/>
    <n v="124.1"/>
    <n v="245.5"/>
    <n v="119.2"/>
    <n v="118.7"/>
    <n v="119.7"/>
    <n v="117.1"/>
    <n v="110.1"/>
    <n v="115.9"/>
    <n v="121"/>
    <n v="111.7"/>
    <n v="115.1"/>
    <n v="695.5"/>
    <n v="120.7"/>
    <x v="28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463.3"/>
    <n v="126.7"/>
    <n v="127.3"/>
    <n v="124.1"/>
    <n v="126.8"/>
    <n v="251.39999999999998"/>
    <n v="120.1"/>
    <n v="121.9"/>
    <n v="121.5"/>
    <n v="119.4"/>
    <n v="113.3"/>
    <n v="116.7"/>
    <n v="120.5"/>
    <n v="112.3"/>
    <n v="116.9"/>
    <n v="703.69999999999993"/>
    <n v="122.4"/>
    <x v="29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472.8000000000002"/>
    <n v="131.30000000000001"/>
    <n v="122.4"/>
    <n v="117.4"/>
    <n v="121.6"/>
    <n v="239.8"/>
    <n v="119.6"/>
    <n v="114.9"/>
    <n v="118.7"/>
    <n v="114.9"/>
    <n v="110.8"/>
    <n v="116"/>
    <n v="122"/>
    <n v="112.4"/>
    <n v="115.2"/>
    <n v="694.80000000000007"/>
    <n v="120.7"/>
    <x v="29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465.4"/>
    <n v="127.9"/>
    <n v="125.4"/>
    <n v="121.3"/>
    <n v="124.7"/>
    <n v="246.7"/>
    <n v="119.6"/>
    <n v="119.2"/>
    <n v="120.2"/>
    <n v="117.7"/>
    <n v="112"/>
    <n v="116.3"/>
    <n v="121.4"/>
    <n v="112.3"/>
    <n v="116.1"/>
    <n v="699.9"/>
    <n v="121.6"/>
    <x v="29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491.3"/>
    <n v="128.19999999999999"/>
    <n v="128.4"/>
    <n v="125.1"/>
    <n v="128"/>
    <n v="253.5"/>
    <n v="120.1"/>
    <n v="122.6"/>
    <n v="122.8"/>
    <n v="120.4"/>
    <n v="114.2"/>
    <n v="117.9"/>
    <n v="122"/>
    <n v="113"/>
    <n v="117.9"/>
    <n v="710.3"/>
    <n v="124.1"/>
    <x v="30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508.1"/>
    <n v="132.1"/>
    <n v="123.2"/>
    <n v="117.6"/>
    <n v="122.3"/>
    <n v="240.8"/>
    <n v="119"/>
    <n v="115.1"/>
    <n v="119.2"/>
    <n v="115.4"/>
    <n v="111.7"/>
    <n v="116.2"/>
    <n v="123.8"/>
    <n v="112.5"/>
    <n v="116"/>
    <n v="698.8"/>
    <n v="121.7"/>
    <x v="30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496.2"/>
    <n v="129.19999999999999"/>
    <n v="126.4"/>
    <n v="122"/>
    <n v="125.7"/>
    <n v="248.4"/>
    <n v="119"/>
    <n v="119.8"/>
    <n v="121.1"/>
    <n v="118.5"/>
    <n v="112.9"/>
    <n v="116.9"/>
    <n v="123.1"/>
    <n v="112.8"/>
    <n v="117"/>
    <n v="705.3"/>
    <n v="123"/>
    <x v="30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497.8"/>
    <n v="129.4"/>
    <n v="128.80000000000001"/>
    <n v="125.5"/>
    <n v="128.30000000000001"/>
    <n v="254.3"/>
    <n v="120.1"/>
    <n v="123"/>
    <n v="123"/>
    <n v="120.8"/>
    <n v="114.1"/>
    <n v="118"/>
    <n v="122.9"/>
    <n v="112.7"/>
    <n v="118.1"/>
    <n v="711.5"/>
    <n v="124.7"/>
    <x v="31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513.3999999999999"/>
    <n v="133.1"/>
    <n v="123.5"/>
    <n v="117.9"/>
    <n v="122.7"/>
    <n v="241.4"/>
    <n v="119.9"/>
    <n v="115.3"/>
    <n v="119.5"/>
    <n v="116"/>
    <n v="111.5"/>
    <n v="116.6"/>
    <n v="125.4"/>
    <n v="111.7"/>
    <n v="116.3"/>
    <n v="700.7"/>
    <n v="122.4"/>
    <x v="31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502.4"/>
    <n v="130.4"/>
    <n v="126.7"/>
    <n v="122.3"/>
    <n v="126.1"/>
    <n v="249"/>
    <n v="119.9"/>
    <n v="120.1"/>
    <n v="121.3"/>
    <n v="119"/>
    <n v="112.7"/>
    <n v="117.2"/>
    <n v="124.4"/>
    <n v="112.3"/>
    <n v="117.2"/>
    <n v="706.9"/>
    <n v="123.6"/>
    <x v="31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516.8"/>
    <n v="130.1"/>
    <n v="129.5"/>
    <n v="126.3"/>
    <n v="129"/>
    <n v="255.8"/>
    <n v="120.1"/>
    <n v="123.8"/>
    <n v="123.7"/>
    <n v="121.1"/>
    <n v="113.6"/>
    <n v="118.5"/>
    <n v="123.6"/>
    <n v="112.5"/>
    <n v="118.2"/>
    <n v="713"/>
    <n v="126.1"/>
    <x v="32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527.8"/>
    <n v="134.19999999999999"/>
    <n v="123.7"/>
    <n v="118.2"/>
    <n v="122.9"/>
    <n v="241.9"/>
    <n v="120.9"/>
    <n v="115.3"/>
    <n v="120"/>
    <n v="116.6"/>
    <n v="109.9"/>
    <n v="117.2"/>
    <n v="126.2"/>
    <n v="112"/>
    <n v="116.2"/>
    <n v="701.9"/>
    <n v="123.2"/>
    <x v="32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519.3"/>
    <n v="131.19999999999999"/>
    <n v="127.2"/>
    <n v="122.9"/>
    <n v="126.6"/>
    <n v="250.10000000000002"/>
    <n v="120.9"/>
    <n v="120.6"/>
    <n v="122"/>
    <n v="119.4"/>
    <n v="111.7"/>
    <n v="117.8"/>
    <n v="125.1"/>
    <n v="112.3"/>
    <n v="117.2"/>
    <n v="708.3"/>
    <n v="124.8"/>
    <x v="32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526.6000000000001"/>
    <n v="131"/>
    <n v="130.4"/>
    <n v="126.8"/>
    <n v="129.9"/>
    <n v="257.2"/>
    <n v="120.1"/>
    <n v="123.7"/>
    <n v="124.5"/>
    <n v="121.4"/>
    <n v="113.8"/>
    <n v="119.6"/>
    <n v="124.5"/>
    <n v="113.7"/>
    <n v="118.8"/>
    <n v="717.5"/>
    <n v="127"/>
    <x v="33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533.3"/>
    <n v="134.69999999999999"/>
    <n v="124"/>
    <n v="118.6"/>
    <n v="123.2"/>
    <n v="242.6"/>
    <n v="121.6"/>
    <n v="115.1"/>
    <n v="120.4"/>
    <n v="117.1"/>
    <n v="109.1"/>
    <n v="117.3"/>
    <n v="126.5"/>
    <n v="112.9"/>
    <n v="116.2"/>
    <n v="703.30000000000007"/>
    <n v="123.5"/>
    <x v="33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527.1000000000001"/>
    <n v="132"/>
    <n v="127.9"/>
    <n v="123.4"/>
    <n v="127.2"/>
    <n v="251.3"/>
    <n v="121.6"/>
    <n v="120.4"/>
    <n v="122.6"/>
    <n v="119.8"/>
    <n v="111.3"/>
    <n v="118.3"/>
    <n v="125.7"/>
    <n v="113.4"/>
    <n v="117.5"/>
    <n v="711.1"/>
    <n v="125.4"/>
    <x v="33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542.8"/>
    <n v="131.5"/>
    <n v="131.1"/>
    <n v="127.3"/>
    <n v="130.6"/>
    <n v="258.39999999999998"/>
    <n v="120.1"/>
    <n v="124.4"/>
    <n v="125.1"/>
    <n v="122"/>
    <n v="113.8"/>
    <n v="120.1"/>
    <n v="125.1"/>
    <n v="114.2"/>
    <n v="119.2"/>
    <n v="720.30000000000007"/>
    <n v="127.7"/>
    <x v="34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560.2000000000003"/>
    <n v="135.30000000000001"/>
    <n v="124.4"/>
    <n v="118.8"/>
    <n v="123.6"/>
    <n v="243.2"/>
    <n v="122.4"/>
    <n v="114.9"/>
    <n v="120.7"/>
    <n v="117.7"/>
    <n v="109.3"/>
    <n v="117.7"/>
    <n v="126.5"/>
    <n v="113.5"/>
    <n v="116.5"/>
    <n v="705.4"/>
    <n v="124.2"/>
    <x v="34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546.8999999999999"/>
    <n v="132.5"/>
    <n v="128.5"/>
    <n v="123.8"/>
    <n v="127.8"/>
    <n v="252.3"/>
    <n v="122.4"/>
    <n v="120.8"/>
    <n v="123"/>
    <n v="120.4"/>
    <n v="111.4"/>
    <n v="118.7"/>
    <n v="125.9"/>
    <n v="113.9"/>
    <n v="117.9"/>
    <n v="713.3"/>
    <n v="126.1"/>
    <x v="34"/>
  </r>
  <r>
    <x v="0"/>
    <x v="2"/>
    <x v="11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553.8999999999999"/>
    <n v="132.19999999999999"/>
    <n v="132.1"/>
    <n v="128.19999999999999"/>
    <n v="131.5"/>
    <n v="260.29999999999995"/>
    <n v="120.1"/>
    <n v="125.6"/>
    <n v="125.6"/>
    <n v="122.6"/>
    <n v="114"/>
    <n v="120.9"/>
    <n v="125.8"/>
    <n v="114.2"/>
    <n v="119.6"/>
    <n v="723.1"/>
    <n v="128.30000000000001"/>
    <x v="35"/>
  </r>
  <r>
    <x v="1"/>
    <x v="2"/>
    <x v="11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575.1999999999998"/>
    <n v="137.6"/>
    <n v="125"/>
    <n v="119.3"/>
    <n v="124.2"/>
    <n v="244.3"/>
    <n v="122.9"/>
    <n v="115.1"/>
    <n v="121"/>
    <n v="118.1"/>
    <n v="109.3"/>
    <n v="117.9"/>
    <n v="126.6"/>
    <n v="113.3"/>
    <n v="116.6"/>
    <n v="706.19999999999993"/>
    <n v="124.6"/>
    <x v="35"/>
  </r>
  <r>
    <x v="2"/>
    <x v="2"/>
    <x v="11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559.3999999999999"/>
    <n v="133.6"/>
    <n v="129.30000000000001"/>
    <n v="124.5"/>
    <n v="128.6"/>
    <n v="253.8"/>
    <n v="122.9"/>
    <n v="121.6"/>
    <n v="123.4"/>
    <n v="120.9"/>
    <n v="111.5"/>
    <n v="119.2"/>
    <n v="126.3"/>
    <n v="113.8"/>
    <n v="118.1"/>
    <n v="715.09999999999991"/>
    <n v="126.6"/>
    <x v="35"/>
  </r>
  <r>
    <x v="0"/>
    <x v="2"/>
    <x v="12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550.9"/>
    <n v="133.1"/>
    <n v="132.5"/>
    <n v="128.5"/>
    <n v="131.9"/>
    <n v="261"/>
    <n v="120.1"/>
    <n v="125.7"/>
    <n v="126"/>
    <n v="123.1"/>
    <n v="114"/>
    <n v="121.6"/>
    <n v="125.6"/>
    <n v="114.1"/>
    <n v="119.8"/>
    <n v="724.40000000000009"/>
    <n v="127.9"/>
    <x v="36"/>
  </r>
  <r>
    <x v="1"/>
    <x v="2"/>
    <x v="12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567.3"/>
    <n v="138.19999999999999"/>
    <n v="125.4"/>
    <n v="119.5"/>
    <n v="124.5"/>
    <n v="244.9"/>
    <n v="122.4"/>
    <n v="116"/>
    <n v="121"/>
    <n v="118.6"/>
    <n v="109.3"/>
    <n v="118.1"/>
    <n v="126.6"/>
    <n v="113.2"/>
    <n v="116.7"/>
    <n v="706.80000000000007"/>
    <n v="124"/>
    <x v="36"/>
  </r>
  <r>
    <x v="2"/>
    <x v="2"/>
    <x v="12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554.7"/>
    <n v="134.5"/>
    <n v="129.69999999999999"/>
    <n v="124.8"/>
    <n v="129"/>
    <n v="254.5"/>
    <n v="122.4"/>
    <n v="122"/>
    <n v="123.6"/>
    <n v="121.4"/>
    <n v="111.5"/>
    <n v="119.6"/>
    <n v="126.2"/>
    <n v="113.7"/>
    <n v="118.3"/>
    <n v="716.00000000000011"/>
    <n v="126.1"/>
    <x v="36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558.7"/>
    <n v="133.6"/>
    <n v="133.19999999999999"/>
    <n v="128.9"/>
    <n v="132.6"/>
    <n v="262.10000000000002"/>
    <n v="126.5"/>
    <n v="126.2"/>
    <n v="126.6"/>
    <n v="123.7"/>
    <n v="113.6"/>
    <n v="121.4"/>
    <n v="126.2"/>
    <n v="114.9"/>
    <n v="120.1"/>
    <n v="726.4"/>
    <n v="128.1"/>
    <x v="37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570.2"/>
    <n v="139.5"/>
    <n v="125.8"/>
    <n v="119.8"/>
    <n v="124.9"/>
    <n v="245.6"/>
    <n v="123.4"/>
    <n v="116.9"/>
    <n v="121.6"/>
    <n v="119.1"/>
    <n v="108.9"/>
    <n v="118.5"/>
    <n v="126.4"/>
    <n v="114"/>
    <n v="116.8"/>
    <n v="708.5"/>
    <n v="124.2"/>
    <x v="37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560.4"/>
    <n v="135.19999999999999"/>
    <n v="130.30000000000001"/>
    <n v="125.1"/>
    <n v="129.5"/>
    <n v="255.4"/>
    <n v="123.4"/>
    <n v="122.7"/>
    <n v="124.2"/>
    <n v="122"/>
    <n v="111.1"/>
    <n v="119.8"/>
    <n v="126.3"/>
    <n v="114.5"/>
    <n v="118.5"/>
    <n v="717.9"/>
    <n v="126.3"/>
    <x v="37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552.3"/>
    <n v="134.4"/>
    <n v="133.9"/>
    <n v="129.80000000000001"/>
    <n v="133.4"/>
    <n v="263.70000000000005"/>
    <n v="126.5"/>
    <n v="127.5"/>
    <n v="127.1"/>
    <n v="124.3"/>
    <n v="113.9"/>
    <n v="122.3"/>
    <n v="127.1"/>
    <n v="116.8"/>
    <n v="120.9"/>
    <n v="731.49999999999989"/>
    <n v="127.9"/>
    <x v="38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547"/>
    <n v="140"/>
    <n v="126.2"/>
    <n v="120.1"/>
    <n v="125.3"/>
    <n v="246.3"/>
    <n v="124.4"/>
    <n v="116"/>
    <n v="121.8"/>
    <n v="119.5"/>
    <n v="109.1"/>
    <n v="118.8"/>
    <n v="126.3"/>
    <n v="116.2"/>
    <n v="117.2"/>
    <n v="711.7"/>
    <n v="123.8"/>
    <x v="38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548.1999999999998"/>
    <n v="135.9"/>
    <n v="130.9"/>
    <n v="125.8"/>
    <n v="130.19999999999999"/>
    <n v="256.7"/>
    <n v="124.4"/>
    <n v="123.1"/>
    <n v="124.6"/>
    <n v="122.5"/>
    <n v="111.4"/>
    <n v="120.3"/>
    <n v="126.6"/>
    <n v="116.6"/>
    <n v="119.1"/>
    <n v="722"/>
    <n v="126"/>
    <x v="38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552.3000000000002"/>
    <n v="135"/>
    <n v="134.4"/>
    <n v="130.19999999999999"/>
    <n v="133.80000000000001"/>
    <n v="264.60000000000002"/>
    <n v="126.5"/>
    <n v="127"/>
    <n v="127.7"/>
    <n v="124.8"/>
    <n v="113.6"/>
    <n v="122.5"/>
    <n v="127.5"/>
    <n v="117.4"/>
    <n v="121.1"/>
    <n v="733.5"/>
    <n v="128"/>
    <x v="39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538.7"/>
    <n v="140.6"/>
    <n v="126.4"/>
    <n v="120.3"/>
    <n v="125.5"/>
    <n v="246.7"/>
    <n v="124.9"/>
    <n v="114.8"/>
    <n v="122.3"/>
    <n v="119.7"/>
    <n v="108.5"/>
    <n v="119.1"/>
    <n v="126.4"/>
    <n v="117.1"/>
    <n v="117.3"/>
    <n v="713.1"/>
    <n v="123.8"/>
    <x v="39"/>
  </r>
  <r>
    <x v="2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545.4"/>
    <n v="136.5"/>
    <n v="131.30000000000001"/>
    <n v="126.1"/>
    <n v="130.5"/>
    <n v="257.39999999999998"/>
    <n v="124.9"/>
    <n v="122.4"/>
    <n v="125.1"/>
    <n v="122.9"/>
    <n v="110.9"/>
    <n v="120.6"/>
    <n v="126.9"/>
    <n v="117.3"/>
    <n v="119.3"/>
    <n v="723.69999999999993"/>
    <n v="126"/>
    <x v="39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569.8000000000004"/>
    <n v="135.5"/>
    <n v="135"/>
    <n v="130.6"/>
    <n v="134.4"/>
    <n v="265.60000000000002"/>
    <n v="126.5"/>
    <n v="127"/>
    <n v="128"/>
    <n v="125.2"/>
    <n v="114.4"/>
    <n v="123.2"/>
    <n v="127.9"/>
    <n v="118.4"/>
    <n v="121.7"/>
    <n v="737.1"/>
    <n v="129"/>
    <x v="40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574.5"/>
    <n v="141.5"/>
    <n v="126.8"/>
    <n v="120.5"/>
    <n v="125.8"/>
    <n v="247.3"/>
    <n v="125.6"/>
    <n v="114.6"/>
    <n v="122.8"/>
    <n v="120"/>
    <n v="110"/>
    <n v="119.5"/>
    <n v="127.6"/>
    <n v="117.6"/>
    <n v="118.2"/>
    <n v="717.5"/>
    <n v="125.3"/>
    <x v="40"/>
  </r>
  <r>
    <x v="2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569.5"/>
    <n v="137.1"/>
    <n v="131.80000000000001"/>
    <n v="126.4"/>
    <n v="131"/>
    <n v="258.20000000000005"/>
    <n v="125.6"/>
    <n v="122.3"/>
    <n v="125.5"/>
    <n v="123.2"/>
    <n v="112.1"/>
    <n v="121.1"/>
    <n v="127.7"/>
    <n v="118.1"/>
    <n v="120"/>
    <n v="727.7"/>
    <n v="127.3"/>
    <x v="40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590.1"/>
    <n v="136"/>
    <n v="135.4"/>
    <n v="131.1"/>
    <n v="134.80000000000001"/>
    <n v="266.5"/>
    <n v="126.5"/>
    <n v="127.4"/>
    <n v="128.5"/>
    <n v="125.8"/>
    <n v="115.1"/>
    <n v="123.6"/>
    <n v="129.1"/>
    <n v="119.7"/>
    <n v="122.5"/>
    <n v="741.80000000000007"/>
    <n v="130.30000000000001"/>
    <x v="41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612.1999999999998"/>
    <n v="142.19999999999999"/>
    <n v="127.2"/>
    <n v="120.7"/>
    <n v="126.2"/>
    <n v="247.9"/>
    <n v="126"/>
    <n v="115"/>
    <n v="123.2"/>
    <n v="120.3"/>
    <n v="110.7"/>
    <n v="119.8"/>
    <n v="128"/>
    <n v="118.5"/>
    <n v="118.7"/>
    <n v="720.5"/>
    <n v="126.6"/>
    <x v="41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596.4"/>
    <n v="137.69999999999999"/>
    <n v="132.19999999999999"/>
    <n v="126.8"/>
    <n v="131.4"/>
    <n v="259"/>
    <n v="126"/>
    <n v="122.7"/>
    <n v="126"/>
    <n v="123.7"/>
    <n v="112.8"/>
    <n v="121.5"/>
    <n v="128.5"/>
    <n v="119.2"/>
    <n v="120.7"/>
    <n v="731.7"/>
    <n v="128.6"/>
    <x v="41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612.6"/>
    <n v="137.19999999999999"/>
    <n v="136.30000000000001"/>
    <n v="131.6"/>
    <n v="135.6"/>
    <n v="267.89999999999998"/>
    <n v="126.5"/>
    <n v="128"/>
    <n v="129.30000000000001"/>
    <n v="126.2"/>
    <n v="116.3"/>
    <n v="124.1"/>
    <n v="130.19999999999999"/>
    <n v="119.9"/>
    <n v="123.3"/>
    <n v="745.99999999999989"/>
    <n v="131.9"/>
    <x v="42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648.8000000000002"/>
    <n v="142.69999999999999"/>
    <n v="127.6"/>
    <n v="121.1"/>
    <n v="126.6"/>
    <n v="248.7"/>
    <n v="125.5"/>
    <n v="115.5"/>
    <n v="123.2"/>
    <n v="120.6"/>
    <n v="112.3"/>
    <n v="119.9"/>
    <n v="129.30000000000001"/>
    <n v="118.8"/>
    <n v="119.6"/>
    <n v="724.09999999999991"/>
    <n v="128.1"/>
    <x v="42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623.8"/>
    <n v="138.69999999999999"/>
    <n v="132.9"/>
    <n v="127.2"/>
    <n v="132"/>
    <n v="260.10000000000002"/>
    <n v="125.5"/>
    <n v="123.3"/>
    <n v="126.4"/>
    <n v="124.1"/>
    <n v="114.2"/>
    <n v="121.7"/>
    <n v="129.69999999999999"/>
    <n v="119.4"/>
    <n v="121.5"/>
    <n v="735.49999999999989"/>
    <n v="130.1"/>
    <x v="42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632.6999999999998"/>
    <n v="138"/>
    <n v="137.19999999999999"/>
    <n v="132.19999999999999"/>
    <n v="136.5"/>
    <n v="269.39999999999998"/>
    <n v="126.5"/>
    <n v="128.19999999999999"/>
    <n v="130"/>
    <n v="126.7"/>
    <n v="116.4"/>
    <n v="125.2"/>
    <n v="130.80000000000001"/>
    <n v="120.9"/>
    <n v="123.8"/>
    <n v="750"/>
    <n v="133"/>
    <x v="43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671.7000000000003"/>
    <n v="142.9"/>
    <n v="127.9"/>
    <n v="121.1"/>
    <n v="126.9"/>
    <n v="249"/>
    <n v="126.4"/>
    <n v="115.5"/>
    <n v="123.5"/>
    <n v="120.9"/>
    <n v="111.7"/>
    <n v="120.3"/>
    <n v="130.80000000000001"/>
    <n v="120"/>
    <n v="119.9"/>
    <n v="727.2"/>
    <n v="129"/>
    <x v="43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645.1"/>
    <n v="139.30000000000001"/>
    <n v="133.5"/>
    <n v="127.6"/>
    <n v="132.69999999999999"/>
    <n v="261.10000000000002"/>
    <n v="126.4"/>
    <n v="123.4"/>
    <n v="126.9"/>
    <n v="124.5"/>
    <n v="113.9"/>
    <n v="122.4"/>
    <n v="130.80000000000001"/>
    <n v="120.5"/>
    <n v="121.9"/>
    <n v="739"/>
    <n v="131.1"/>
    <x v="43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639.4999999999998"/>
    <n v="138.9"/>
    <n v="137.80000000000001"/>
    <n v="133"/>
    <n v="137.1"/>
    <n v="270.8"/>
    <n v="126.5"/>
    <n v="129.1"/>
    <n v="130.6"/>
    <n v="127"/>
    <n v="116"/>
    <n v="125.5"/>
    <n v="131.9"/>
    <n v="122"/>
    <n v="124.2"/>
    <n v="753"/>
    <n v="133.5"/>
    <x v="44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646.3999999999996"/>
    <n v="143.6"/>
    <n v="128.30000000000001"/>
    <n v="121.4"/>
    <n v="127.3"/>
    <n v="249.70000000000002"/>
    <n v="127.3"/>
    <n v="114.7"/>
    <n v="123.9"/>
    <n v="121.2"/>
    <n v="110.4"/>
    <n v="120.6"/>
    <n v="131.5"/>
    <n v="120.9"/>
    <n v="119.9"/>
    <n v="728.5"/>
    <n v="128.4"/>
    <x v="44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640"/>
    <n v="140.19999999999999"/>
    <n v="134.1"/>
    <n v="128.19999999999999"/>
    <n v="133.19999999999999"/>
    <n v="262.29999999999995"/>
    <n v="127.3"/>
    <n v="123.6"/>
    <n v="127.4"/>
    <n v="124.8"/>
    <n v="113.1"/>
    <n v="122.7"/>
    <n v="131.69999999999999"/>
    <n v="121.5"/>
    <n v="122.1"/>
    <n v="741.19999999999993"/>
    <n v="131.1"/>
    <x v="44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633.5"/>
    <n v="139.9"/>
    <n v="138.5"/>
    <n v="133.5"/>
    <n v="137.80000000000001"/>
    <n v="272"/>
    <n v="126.5"/>
    <n v="129.69999999999999"/>
    <n v="131.1"/>
    <n v="127.8"/>
    <n v="117"/>
    <n v="125.7"/>
    <n v="132.19999999999999"/>
    <n v="122.8"/>
    <n v="124.9"/>
    <n v="756.59999999999991"/>
    <n v="133.4"/>
    <x v="45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620.6999999999996"/>
    <n v="143.9"/>
    <n v="128.69999999999999"/>
    <n v="121.6"/>
    <n v="127.7"/>
    <n v="250.29999999999998"/>
    <n v="127.9"/>
    <n v="114.8"/>
    <n v="124.3"/>
    <n v="121.4"/>
    <n v="111.8"/>
    <n v="120.8"/>
    <n v="131.6"/>
    <n v="121.2"/>
    <n v="120.5"/>
    <n v="731.1"/>
    <n v="128"/>
    <x v="45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627.1"/>
    <n v="141"/>
    <n v="134.6"/>
    <n v="128.6"/>
    <n v="133.80000000000001"/>
    <n v="263.2"/>
    <n v="127.9"/>
    <n v="124.1"/>
    <n v="127.9"/>
    <n v="125.4"/>
    <n v="114.3"/>
    <n v="122.9"/>
    <n v="131.80000000000001"/>
    <n v="122.1"/>
    <n v="122.8"/>
    <n v="744.4"/>
    <n v="130.9"/>
    <x v="45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634.4"/>
    <n v="140.9"/>
    <n v="139.6"/>
    <n v="134.30000000000001"/>
    <n v="138.80000000000001"/>
    <n v="273.89999999999998"/>
    <n v="126.5"/>
    <n v="129.80000000000001"/>
    <n v="131.80000000000001"/>
    <n v="128.69999999999999"/>
    <n v="117.8"/>
    <n v="126.5"/>
    <n v="133"/>
    <n v="123"/>
    <n v="125.7"/>
    <n v="760.8"/>
    <n v="133.80000000000001"/>
    <x v="46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626.6"/>
    <n v="144.30000000000001"/>
    <n v="129.1"/>
    <n v="121.9"/>
    <n v="128"/>
    <n v="251"/>
    <n v="128.69999999999999"/>
    <n v="115.2"/>
    <n v="124.5"/>
    <n v="121.8"/>
    <n v="112.8"/>
    <n v="121.2"/>
    <n v="131.9"/>
    <n v="120.8"/>
    <n v="120.9"/>
    <n v="733"/>
    <n v="128.6"/>
    <x v="46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629.7999999999995"/>
    <n v="141.80000000000001"/>
    <n v="135.5"/>
    <n v="129.1"/>
    <n v="134.5"/>
    <n v="264.60000000000002"/>
    <n v="128.69999999999999"/>
    <n v="124.3"/>
    <n v="128.4"/>
    <n v="126.1"/>
    <n v="115.2"/>
    <n v="123.5"/>
    <n v="132.4"/>
    <n v="122.1"/>
    <n v="123.4"/>
    <n v="747.7"/>
    <n v="131.4"/>
    <x v="46"/>
  </r>
  <r>
    <x v="0"/>
    <x v="3"/>
    <x v="11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628"/>
    <n v="141.19999999999999"/>
    <n v="139.9"/>
    <n v="134.5"/>
    <n v="139.19999999999999"/>
    <n v="274.39999999999998"/>
    <n v="126.5"/>
    <n v="130.30000000000001"/>
    <n v="132.1"/>
    <n v="129.1"/>
    <n v="118.2"/>
    <n v="126.9"/>
    <n v="133.69999999999999"/>
    <n v="123.5"/>
    <n v="126.1"/>
    <n v="763.5"/>
    <n v="133.6"/>
    <x v="47"/>
  </r>
  <r>
    <x v="1"/>
    <x v="3"/>
    <x v="11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620"/>
    <n v="144.30000000000001"/>
    <n v="129.6"/>
    <n v="122.1"/>
    <n v="128.5"/>
    <n v="251.7"/>
    <n v="129.1"/>
    <n v="116.2"/>
    <n v="124.7"/>
    <n v="122.1"/>
    <n v="113.4"/>
    <n v="121.7"/>
    <n v="132.1"/>
    <n v="121.3"/>
    <n v="121.3"/>
    <n v="735.3"/>
    <n v="128.5"/>
    <x v="47"/>
  </r>
  <r>
    <x v="2"/>
    <x v="3"/>
    <x v="11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623.7"/>
    <n v="142"/>
    <n v="135.80000000000001"/>
    <n v="129.30000000000001"/>
    <n v="135"/>
    <n v="265.10000000000002"/>
    <n v="129.1"/>
    <n v="125"/>
    <n v="128.6"/>
    <n v="126.4"/>
    <n v="115.7"/>
    <n v="124"/>
    <n v="132.80000000000001"/>
    <n v="122.6"/>
    <n v="123.8"/>
    <n v="750.1"/>
    <n v="131.19999999999999"/>
    <x v="47"/>
  </r>
  <r>
    <x v="0"/>
    <x v="3"/>
    <x v="12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614.3999999999999"/>
    <n v="142.4"/>
    <n v="140.4"/>
    <n v="135.19999999999999"/>
    <n v="139.69999999999999"/>
    <n v="275.60000000000002"/>
    <n v="126.5"/>
    <n v="132"/>
    <n v="132.9"/>
    <n v="129.69999999999999"/>
    <n v="118.6"/>
    <n v="127.3"/>
    <n v="134.19999999999999"/>
    <n v="121.9"/>
    <n v="126.3"/>
    <n v="764.6"/>
    <n v="132.80000000000001"/>
    <x v="48"/>
  </r>
  <r>
    <x v="1"/>
    <x v="3"/>
    <x v="12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597"/>
    <n v="145"/>
    <n v="130"/>
    <n v="122.2"/>
    <n v="128.80000000000001"/>
    <n v="252.2"/>
    <n v="128.5"/>
    <n v="117.8"/>
    <n v="125"/>
    <n v="122.3"/>
    <n v="113.7"/>
    <n v="121.8"/>
    <n v="132.30000000000001"/>
    <n v="119.9"/>
    <n v="121.4"/>
    <n v="735"/>
    <n v="127.6"/>
    <x v="48"/>
  </r>
  <r>
    <x v="2"/>
    <x v="3"/>
    <x v="12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606.7"/>
    <n v="143.1"/>
    <n v="136.30000000000001"/>
    <n v="129.80000000000001"/>
    <n v="135.4"/>
    <n v="266.10000000000002"/>
    <n v="128.5"/>
    <n v="126.6"/>
    <n v="129.19999999999999"/>
    <n v="126.9"/>
    <n v="116"/>
    <n v="124.2"/>
    <n v="133.1"/>
    <n v="121.1"/>
    <n v="123.9"/>
    <n v="750.5"/>
    <n v="130.4"/>
    <x v="48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603.6000000000001"/>
    <n v="143.1"/>
    <n v="140.69999999999999"/>
    <n v="135.80000000000001"/>
    <n v="140"/>
    <n v="276.5"/>
    <n v="133.6"/>
    <n v="132.1"/>
    <n v="133.19999999999999"/>
    <n v="129.9"/>
    <n v="119.1"/>
    <n v="127"/>
    <n v="134.6"/>
    <n v="122.3"/>
    <n v="126.6"/>
    <n v="766.1"/>
    <n v="132.4"/>
    <x v="49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581.2"/>
    <n v="145.6"/>
    <n v="130.19999999999999"/>
    <n v="122.3"/>
    <n v="129"/>
    <n v="252.5"/>
    <n v="129.6"/>
    <n v="118"/>
    <n v="125.1"/>
    <n v="122.6"/>
    <n v="115.2"/>
    <n v="122"/>
    <n v="132.4"/>
    <n v="120.9"/>
    <n v="122.1"/>
    <n v="738.19999999999993"/>
    <n v="127.8"/>
    <x v="49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594.1999999999996"/>
    <n v="143.80000000000001"/>
    <n v="136.6"/>
    <n v="130.19999999999999"/>
    <n v="135.6"/>
    <n v="266.79999999999995"/>
    <n v="129.6"/>
    <n v="126.8"/>
    <n v="129.4"/>
    <n v="127.1"/>
    <n v="117"/>
    <n v="124.2"/>
    <n v="133.30000000000001"/>
    <n v="121.7"/>
    <n v="124.4"/>
    <n v="752.7"/>
    <n v="130.30000000000001"/>
    <x v="49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600.9000000000003"/>
    <n v="143.69999999999999"/>
    <n v="140.9"/>
    <n v="135.80000000000001"/>
    <n v="140.19999999999999"/>
    <n v="276.70000000000005"/>
    <n v="133.6"/>
    <n v="133.19999999999999"/>
    <n v="133.6"/>
    <n v="130.1"/>
    <n v="119.5"/>
    <n v="127.7"/>
    <n v="134.9"/>
    <n v="123.2"/>
    <n v="127"/>
    <n v="769"/>
    <n v="132.6"/>
    <x v="50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573.2000000000003"/>
    <n v="146.30000000000001"/>
    <n v="130.5"/>
    <n v="122.5"/>
    <n v="129.30000000000001"/>
    <n v="253"/>
    <n v="130.5"/>
    <n v="119.2"/>
    <n v="125.3"/>
    <n v="122.9"/>
    <n v="115.5"/>
    <n v="122.2"/>
    <n v="132.4"/>
    <n v="121.7"/>
    <n v="122.4"/>
    <n v="740"/>
    <n v="128.19999999999999"/>
    <x v="50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589.3000000000002"/>
    <n v="144.4"/>
    <n v="136.80000000000001"/>
    <n v="130.30000000000001"/>
    <n v="135.9"/>
    <n v="267.10000000000002"/>
    <n v="130.5"/>
    <n v="127.9"/>
    <n v="129.69999999999999"/>
    <n v="127.4"/>
    <n v="117.4"/>
    <n v="124.6"/>
    <n v="133.4"/>
    <n v="122.6"/>
    <n v="124.8"/>
    <n v="755.1"/>
    <n v="130.6"/>
    <x v="50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595.1000000000001"/>
    <n v="144.19999999999999"/>
    <n v="141.6"/>
    <n v="136.19999999999999"/>
    <n v="140.80000000000001"/>
    <n v="277.79999999999995"/>
    <n v="133.6"/>
    <n v="134.19999999999999"/>
    <n v="134.1"/>
    <n v="130.6"/>
    <n v="119.8"/>
    <n v="128.30000000000001"/>
    <n v="135.19999999999999"/>
    <n v="123.3"/>
    <n v="127.4"/>
    <n v="771.3"/>
    <n v="132.80000000000001"/>
    <x v="51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573.1"/>
    <n v="147.5"/>
    <n v="130.80000000000001"/>
    <n v="122.8"/>
    <n v="129.6"/>
    <n v="253.60000000000002"/>
    <n v="131.1"/>
    <n v="120.8"/>
    <n v="125.6"/>
    <n v="123.1"/>
    <n v="115.6"/>
    <n v="122.4"/>
    <n v="132.80000000000001"/>
    <n v="121.7"/>
    <n v="122.6"/>
    <n v="741.2"/>
    <n v="128.69999999999999"/>
    <x v="51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585.8000000000002"/>
    <n v="145.1"/>
    <n v="137.30000000000001"/>
    <n v="130.6"/>
    <n v="136.4"/>
    <n v="267.89999999999998"/>
    <n v="131.1"/>
    <n v="129.1"/>
    <n v="130.1"/>
    <n v="127.8"/>
    <n v="117.6"/>
    <n v="125"/>
    <n v="133.80000000000001"/>
    <n v="122.6"/>
    <n v="125.1"/>
    <n v="756.9"/>
    <n v="130.9"/>
    <x v="51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592.8"/>
    <n v="144.4"/>
    <n v="142.4"/>
    <n v="136.80000000000001"/>
    <n v="141.6"/>
    <n v="279.20000000000005"/>
    <n v="133.6"/>
    <n v="135"/>
    <n v="134.30000000000001"/>
    <n v="131"/>
    <n v="119.2"/>
    <n v="128.30000000000001"/>
    <n v="135.69999999999999"/>
    <n v="123.7"/>
    <n v="127.5"/>
    <n v="772.2"/>
    <n v="132.9"/>
    <x v="52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574.6999999999998"/>
    <n v="148"/>
    <n v="131.19999999999999"/>
    <n v="123"/>
    <n v="130"/>
    <n v="254.2"/>
    <n v="131.69999999999999"/>
    <n v="121.4"/>
    <n v="126"/>
    <n v="123.4"/>
    <n v="114.3"/>
    <n v="122.6"/>
    <n v="133.6"/>
    <n v="122.2"/>
    <n v="122.5"/>
    <n v="742.1"/>
    <n v="129.1"/>
    <x v="52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584.9"/>
    <n v="145.4"/>
    <n v="138"/>
    <n v="131.1"/>
    <n v="137"/>
    <n v="269.10000000000002"/>
    <n v="131.69999999999999"/>
    <n v="129.80000000000001"/>
    <n v="130.4"/>
    <n v="128.1"/>
    <n v="116.6"/>
    <n v="125.1"/>
    <n v="134.5"/>
    <n v="123.1"/>
    <n v="125.1"/>
    <n v="757.80000000000007"/>
    <n v="131.1"/>
    <x v="52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593.6999999999996"/>
    <n v="145.5"/>
    <n v="142.5"/>
    <n v="137.30000000000001"/>
    <n v="141.80000000000001"/>
    <n v="279.8"/>
    <n v="133.6"/>
    <n v="135"/>
    <n v="134.9"/>
    <n v="131.4"/>
    <n v="119.4"/>
    <n v="129.4"/>
    <n v="136.30000000000001"/>
    <n v="123.7"/>
    <n v="127.9"/>
    <n v="775.10000000000014"/>
    <n v="133.30000000000001"/>
    <x v="53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576"/>
    <n v="148.30000000000001"/>
    <n v="131.5"/>
    <n v="123.2"/>
    <n v="130.19999999999999"/>
    <n v="254.7"/>
    <n v="132.1"/>
    <n v="120.1"/>
    <n v="126.5"/>
    <n v="123.6"/>
    <n v="114.3"/>
    <n v="122.8"/>
    <n v="133.80000000000001"/>
    <n v="122"/>
    <n v="122.6"/>
    <n v="743"/>
    <n v="129.30000000000001"/>
    <x v="53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585.9"/>
    <n v="146.19999999999999"/>
    <n v="138.19999999999999"/>
    <n v="131.4"/>
    <n v="137.19999999999999"/>
    <n v="269.60000000000002"/>
    <n v="132.1"/>
    <n v="129.4"/>
    <n v="130.9"/>
    <n v="128.4"/>
    <n v="116.7"/>
    <n v="125.7"/>
    <n v="134.80000000000001"/>
    <n v="123"/>
    <n v="125.3"/>
    <n v="759.5"/>
    <n v="131.4"/>
    <x v="53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603.9"/>
    <n v="145.80000000000001"/>
    <n v="143.1"/>
    <n v="137.69999999999999"/>
    <n v="142.30000000000001"/>
    <n v="280.79999999999995"/>
    <n v="133.6"/>
    <n v="134.80000000000001"/>
    <n v="135.19999999999999"/>
    <n v="131.30000000000001"/>
    <n v="119.4"/>
    <n v="129.80000000000001"/>
    <n v="136.9"/>
    <n v="124.1"/>
    <n v="128.1"/>
    <n v="776.7"/>
    <n v="133.9"/>
    <x v="54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595.3000000000002"/>
    <n v="148.6"/>
    <n v="131.5"/>
    <n v="123.2"/>
    <n v="130.19999999999999"/>
    <n v="254.7"/>
    <n v="131.4"/>
    <n v="119"/>
    <n v="126.8"/>
    <n v="123.8"/>
    <n v="113.9"/>
    <n v="122.9"/>
    <n v="134.30000000000001"/>
    <n v="122.5"/>
    <n v="122.7"/>
    <n v="744.2"/>
    <n v="129.9"/>
    <x v="54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599.5"/>
    <n v="146.5"/>
    <n v="138.5"/>
    <n v="131.69999999999999"/>
    <n v="137.5"/>
    <n v="270.2"/>
    <n v="131.4"/>
    <n v="128.80000000000001"/>
    <n v="131.19999999999999"/>
    <n v="128.5"/>
    <n v="116.5"/>
    <n v="125.9"/>
    <n v="135.4"/>
    <n v="123.4"/>
    <n v="125.5"/>
    <n v="760.9"/>
    <n v="132"/>
    <x v="54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634.4"/>
    <n v="147.4"/>
    <n v="144.30000000000001"/>
    <n v="138.1"/>
    <n v="143.5"/>
    <n v="282.39999999999998"/>
    <n v="133.6"/>
    <n v="135.30000000000001"/>
    <n v="136.1"/>
    <n v="132.1"/>
    <n v="119.1"/>
    <n v="130.6"/>
    <n v="138.6"/>
    <n v="124.4"/>
    <n v="128.6"/>
    <n v="780.9"/>
    <n v="136.19999999999999"/>
    <x v="55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628.3"/>
    <n v="150.5"/>
    <n v="131.6"/>
    <n v="123.7"/>
    <n v="130.4"/>
    <n v="255.3"/>
    <n v="132.6"/>
    <n v="119.7"/>
    <n v="127.2"/>
    <n v="125"/>
    <n v="113.2"/>
    <n v="123.5"/>
    <n v="135.5"/>
    <n v="122.4"/>
    <n v="123"/>
    <n v="746.8"/>
    <n v="131.80000000000001"/>
    <x v="55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630.3999999999999"/>
    <n v="148.19999999999999"/>
    <n v="139.30000000000001"/>
    <n v="132.1"/>
    <n v="138.30000000000001"/>
    <n v="271.39999999999998"/>
    <n v="132.6"/>
    <n v="129.4"/>
    <n v="131.9"/>
    <n v="129.4"/>
    <n v="116"/>
    <n v="126.6"/>
    <n v="136.80000000000001"/>
    <n v="123.6"/>
    <n v="125.9"/>
    <n v="764.30000000000007"/>
    <n v="134.19999999999999"/>
    <x v="55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651.8999999999999"/>
    <n v="149"/>
    <n v="145.30000000000001"/>
    <n v="139.19999999999999"/>
    <n v="144.5"/>
    <n v="284.5"/>
    <n v="133.6"/>
    <n v="136.4"/>
    <n v="137.30000000000001"/>
    <n v="133"/>
    <n v="120.3"/>
    <n v="131.5"/>
    <n v="140.19999999999999"/>
    <n v="125.4"/>
    <n v="129.69999999999999"/>
    <n v="787.69999999999993"/>
    <n v="137.80000000000001"/>
    <x v="56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632.4999999999998"/>
    <n v="152.1"/>
    <n v="132.69999999999999"/>
    <n v="124.3"/>
    <n v="131.4"/>
    <n v="257"/>
    <n v="134.4"/>
    <n v="118.9"/>
    <n v="127.7"/>
    <n v="125.7"/>
    <n v="114.6"/>
    <n v="124.1"/>
    <n v="135.69999999999999"/>
    <n v="123.3"/>
    <n v="123.8"/>
    <n v="751.09999999999991"/>
    <n v="132.69999999999999"/>
    <x v="56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643.2"/>
    <n v="149.80000000000001"/>
    <n v="140.30000000000001"/>
    <n v="133"/>
    <n v="139.30000000000001"/>
    <n v="273.3"/>
    <n v="134.4"/>
    <n v="129.80000000000001"/>
    <n v="132.80000000000001"/>
    <n v="130.19999999999999"/>
    <n v="117.3"/>
    <n v="127.3"/>
    <n v="137.6"/>
    <n v="124.5"/>
    <n v="126.8"/>
    <n v="769.7"/>
    <n v="135.4"/>
    <x v="56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644.7"/>
    <n v="149.80000000000001"/>
    <n v="146.1"/>
    <n v="139.69999999999999"/>
    <n v="145.19999999999999"/>
    <n v="285.79999999999995"/>
    <n v="133.6"/>
    <n v="137.4"/>
    <n v="137.9"/>
    <n v="133.4"/>
    <n v="121.2"/>
    <n v="132.30000000000001"/>
    <n v="139.6"/>
    <n v="126.7"/>
    <n v="130.30000000000001"/>
    <n v="791.1"/>
    <n v="137.6"/>
    <x v="57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611.7"/>
    <n v="153.6"/>
    <n v="133.30000000000001"/>
    <n v="124.6"/>
    <n v="132"/>
    <n v="257.89999999999998"/>
    <n v="135.69999999999999"/>
    <n v="120.6"/>
    <n v="128.1"/>
    <n v="126.1"/>
    <n v="115.7"/>
    <n v="124.5"/>
    <n v="135.9"/>
    <n v="124.4"/>
    <n v="124.5"/>
    <n v="754.69999999999993"/>
    <n v="132.4"/>
    <x v="57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630.9999999999998"/>
    <n v="150.80000000000001"/>
    <n v="141.1"/>
    <n v="133.4"/>
    <n v="140"/>
    <n v="274.5"/>
    <n v="135.69999999999999"/>
    <n v="131"/>
    <n v="133.30000000000001"/>
    <n v="130.6"/>
    <n v="118.3"/>
    <n v="127.9"/>
    <n v="137.4"/>
    <n v="125.7"/>
    <n v="127.5"/>
    <n v="773.2"/>
    <n v="135.19999999999999"/>
    <x v="57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650.4999999999998"/>
    <n v="150.5"/>
    <n v="147.19999999999999"/>
    <n v="140.6"/>
    <n v="146.19999999999999"/>
    <n v="287.79999999999995"/>
    <n v="133.6"/>
    <n v="138.1"/>
    <n v="138.4"/>
    <n v="134.19999999999999"/>
    <n v="121"/>
    <n v="133"/>
    <n v="140.1"/>
    <n v="127.4"/>
    <n v="130.69999999999999"/>
    <n v="794.1"/>
    <n v="138.30000000000001"/>
    <x v="58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625.9999999999998"/>
    <n v="154.6"/>
    <n v="134"/>
    <n v="124.9"/>
    <n v="132.6"/>
    <n v="258.89999999999998"/>
    <n v="137.30000000000001"/>
    <n v="122.6"/>
    <n v="128.30000000000001"/>
    <n v="126.6"/>
    <n v="115"/>
    <n v="124.8"/>
    <n v="136.30000000000001"/>
    <n v="124.6"/>
    <n v="124.5"/>
    <n v="755.6"/>
    <n v="133.5"/>
    <x v="58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639.6"/>
    <n v="151.6"/>
    <n v="142"/>
    <n v="134.1"/>
    <n v="140.80000000000001"/>
    <n v="276.10000000000002"/>
    <n v="137.30000000000001"/>
    <n v="132.19999999999999"/>
    <n v="133.6"/>
    <n v="131.30000000000001"/>
    <n v="117.8"/>
    <n v="128.4"/>
    <n v="137.9"/>
    <n v="126.2"/>
    <n v="127.7"/>
    <n v="775.2"/>
    <n v="136.1"/>
    <x v="58"/>
  </r>
  <r>
    <x v="0"/>
    <x v="4"/>
    <x v="11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675.3000000000002"/>
    <n v="152.1"/>
    <n v="148.19999999999999"/>
    <n v="141.5"/>
    <n v="147.30000000000001"/>
    <n v="289.7"/>
    <n v="133.6"/>
    <n v="141.1"/>
    <n v="139.4"/>
    <n v="135.80000000000001"/>
    <n v="121.6"/>
    <n v="133.69999999999999"/>
    <n v="141.5"/>
    <n v="128.1"/>
    <n v="131.69999999999999"/>
    <n v="800.1"/>
    <n v="140"/>
    <x v="59"/>
  </r>
  <r>
    <x v="1"/>
    <x v="4"/>
    <x v="11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655.2"/>
    <n v="156.19999999999999"/>
    <n v="135"/>
    <n v="125.4"/>
    <n v="133.5"/>
    <n v="260.39999999999998"/>
    <n v="138.6"/>
    <n v="125.7"/>
    <n v="128.80000000000001"/>
    <n v="127.4"/>
    <n v="115.3"/>
    <n v="125.1"/>
    <n v="136.6"/>
    <n v="124.9"/>
    <n v="124.9"/>
    <n v="758.1"/>
    <n v="134.80000000000001"/>
    <x v="59"/>
  </r>
  <r>
    <x v="2"/>
    <x v="4"/>
    <x v="11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666.1000000000001"/>
    <n v="153.19999999999999"/>
    <n v="143"/>
    <n v="134.80000000000001"/>
    <n v="141.80000000000001"/>
    <n v="277.8"/>
    <n v="138.6"/>
    <n v="135.30000000000001"/>
    <n v="134.4"/>
    <n v="132.6"/>
    <n v="118.3"/>
    <n v="128.9"/>
    <n v="138.6"/>
    <n v="126.8"/>
    <n v="128.4"/>
    <n v="779.6"/>
    <n v="137.6"/>
    <x v="59"/>
  </r>
  <r>
    <x v="0"/>
    <x v="4"/>
    <x v="12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672.1000000000001"/>
    <n v="153.19999999999999"/>
    <n v="148"/>
    <n v="141.9"/>
    <n v="147.19999999999999"/>
    <n v="289.89999999999998"/>
    <n v="133.6"/>
    <n v="142.6"/>
    <n v="139.5"/>
    <n v="136.1"/>
    <n v="122"/>
    <n v="133.4"/>
    <n v="141.1"/>
    <n v="127.8"/>
    <n v="131.9"/>
    <n v="799.9"/>
    <n v="139.80000000000001"/>
    <x v="60"/>
  </r>
  <r>
    <x v="1"/>
    <x v="4"/>
    <x v="12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628.7"/>
    <n v="157"/>
    <n v="135.6"/>
    <n v="125.6"/>
    <n v="134"/>
    <n v="261.2"/>
    <n v="139.1"/>
    <n v="126.8"/>
    <n v="129.30000000000001"/>
    <n v="128.19999999999999"/>
    <n v="115.3"/>
    <n v="125.6"/>
    <n v="136.69999999999999"/>
    <n v="124.6"/>
    <n v="125.1"/>
    <n v="759.69999999999993"/>
    <n v="134.1"/>
    <x v="60"/>
  </r>
  <r>
    <x v="2"/>
    <x v="4"/>
    <x v="12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654.4999999999998"/>
    <n v="154.19999999999999"/>
    <n v="143.1"/>
    <n v="135.1"/>
    <n v="142"/>
    <n v="278.2"/>
    <n v="139.1"/>
    <n v="136.6"/>
    <n v="134.69999999999999"/>
    <n v="133.1"/>
    <n v="118.5"/>
    <n v="129"/>
    <n v="138.5"/>
    <n v="126.5"/>
    <n v="128.6"/>
    <n v="780.3"/>
    <n v="137.19999999999999"/>
    <x v="60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660.3"/>
    <n v="153.6"/>
    <n v="148.30000000000001"/>
    <n v="142.30000000000001"/>
    <n v="147.5"/>
    <n v="290.60000000000002"/>
    <n v="143.80000000000001"/>
    <n v="142.30000000000001"/>
    <n v="139.80000000000001"/>
    <n v="136"/>
    <n v="122.7"/>
    <n v="134.30000000000001"/>
    <n v="141.6"/>
    <n v="128.6"/>
    <n v="132.30000000000001"/>
    <n v="803"/>
    <n v="139.30000000000001"/>
    <x v="61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611.1000000000001"/>
    <n v="157.69999999999999"/>
    <n v="136"/>
    <n v="125.9"/>
    <n v="134.4"/>
    <n v="261.89999999999998"/>
    <n v="140.4"/>
    <n v="127.3"/>
    <n v="129.5"/>
    <n v="129"/>
    <n v="116.3"/>
    <n v="126.2"/>
    <n v="137.1"/>
    <n v="125.5"/>
    <n v="125.8"/>
    <n v="763.6"/>
    <n v="134.1"/>
    <x v="61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640.7"/>
    <n v="154.69999999999999"/>
    <n v="143.5"/>
    <n v="135.5"/>
    <n v="142.30000000000001"/>
    <n v="279"/>
    <n v="140.4"/>
    <n v="136.6"/>
    <n v="134.9"/>
    <n v="133.30000000000001"/>
    <n v="119.3"/>
    <n v="129.69999999999999"/>
    <n v="139"/>
    <n v="127.3"/>
    <n v="129.1"/>
    <n v="783.5"/>
    <n v="136.9"/>
    <x v="61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642.8"/>
    <n v="153.30000000000001"/>
    <n v="148.69999999999999"/>
    <n v="142.4"/>
    <n v="147.80000000000001"/>
    <n v="291.10000000000002"/>
    <n v="143.80000000000001"/>
    <n v="142.4"/>
    <n v="139.9"/>
    <n v="136.19999999999999"/>
    <n v="123.3"/>
    <n v="134.30000000000001"/>
    <n v="141.5"/>
    <n v="128.80000000000001"/>
    <n v="132.5"/>
    <n v="804"/>
    <n v="138.5"/>
    <x v="62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2.3000000000002"/>
    <n v="159.30000000000001"/>
    <n v="136.30000000000001"/>
    <n v="126.1"/>
    <n v="134.69999999999999"/>
    <n v="262.39999999999998"/>
    <n v="141.30000000000001"/>
    <n v="127.3"/>
    <n v="129.9"/>
    <n v="129.80000000000001"/>
    <n v="117.4"/>
    <n v="126.5"/>
    <n v="137.19999999999999"/>
    <n v="126.2"/>
    <n v="126.5"/>
    <n v="767"/>
    <n v="134"/>
    <x v="62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622.7999999999997"/>
    <n v="154.9"/>
    <n v="143.80000000000001"/>
    <n v="135.6"/>
    <n v="142.6"/>
    <n v="279.39999999999998"/>
    <n v="141.30000000000001"/>
    <n v="136.69999999999999"/>
    <n v="135.19999999999999"/>
    <n v="133.80000000000001"/>
    <n v="120.2"/>
    <n v="129.9"/>
    <n v="139"/>
    <n v="127.7"/>
    <n v="129.6"/>
    <n v="785.80000000000007"/>
    <n v="136.4"/>
    <x v="62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643.3999999999999"/>
    <n v="155.1"/>
    <n v="149.19999999999999"/>
    <n v="143"/>
    <n v="148.30000000000001"/>
    <n v="292.2"/>
    <n v="143.80000000000001"/>
    <n v="142.6"/>
    <n v="139.9"/>
    <n v="136.69999999999999"/>
    <n v="124.6"/>
    <n v="135.1"/>
    <n v="142.69999999999999"/>
    <n v="129.30000000000001"/>
    <n v="133.30000000000001"/>
    <n v="808.3"/>
    <n v="138.69999999999999"/>
    <x v="63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80.7"/>
    <n v="159.69999999999999"/>
    <n v="136.69999999999999"/>
    <n v="126.7"/>
    <n v="135.19999999999999"/>
    <n v="263.39999999999998"/>
    <n v="142"/>
    <n v="126.4"/>
    <n v="130.80000000000001"/>
    <n v="130.5"/>
    <n v="117.8"/>
    <n v="126.8"/>
    <n v="137.80000000000001"/>
    <n v="126.7"/>
    <n v="127.1"/>
    <n v="770.40000000000009"/>
    <n v="134"/>
    <x v="63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618.8"/>
    <n v="156.30000000000001"/>
    <n v="144.30000000000001"/>
    <n v="136.19999999999999"/>
    <n v="143.1"/>
    <n v="280.5"/>
    <n v="142"/>
    <n v="136.5"/>
    <n v="135.6"/>
    <n v="134.30000000000001"/>
    <n v="121"/>
    <n v="130.4"/>
    <n v="139.80000000000001"/>
    <n v="128.19999999999999"/>
    <n v="130.30000000000001"/>
    <n v="789.3"/>
    <n v="136.5"/>
    <x v="63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641.4"/>
    <n v="156.1"/>
    <n v="150.1"/>
    <n v="143.30000000000001"/>
    <n v="149.1"/>
    <n v="293.39999999999998"/>
    <n v="143.80000000000001"/>
    <n v="143.80000000000001"/>
    <n v="140.9"/>
    <n v="137.6"/>
    <n v="125.3"/>
    <n v="136"/>
    <n v="143.69999999999999"/>
    <n v="130.4"/>
    <n v="134.19999999999999"/>
    <n v="813.9"/>
    <n v="139.1"/>
    <x v="64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84.3000000000002"/>
    <n v="159.19999999999999"/>
    <n v="137.80000000000001"/>
    <n v="127.4"/>
    <n v="136.19999999999999"/>
    <n v="265.20000000000005"/>
    <n v="142.9"/>
    <n v="124.6"/>
    <n v="131.80000000000001"/>
    <n v="131.30000000000001"/>
    <n v="118.9"/>
    <n v="127.6"/>
    <n v="139.69999999999999"/>
    <n v="127.6"/>
    <n v="128.19999999999999"/>
    <n v="776.9"/>
    <n v="134.80000000000001"/>
    <x v="64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619.6000000000001"/>
    <n v="156.9"/>
    <n v="145.30000000000001"/>
    <n v="136.69999999999999"/>
    <n v="144"/>
    <n v="282"/>
    <n v="142.9"/>
    <n v="136.5"/>
    <n v="136.6"/>
    <n v="135.19999999999999"/>
    <n v="121.9"/>
    <n v="131.30000000000001"/>
    <n v="141.4"/>
    <n v="129.19999999999999"/>
    <n v="131.30000000000001"/>
    <n v="795.59999999999991"/>
    <n v="137.1"/>
    <x v="64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643.3000000000002"/>
    <n v="157"/>
    <n v="150.80000000000001"/>
    <n v="144.1"/>
    <n v="149.80000000000001"/>
    <n v="294.89999999999998"/>
    <n v="143.80000000000001"/>
    <n v="144.30000000000001"/>
    <n v="141.80000000000001"/>
    <n v="138.4"/>
    <n v="126.4"/>
    <n v="136.80000000000001"/>
    <n v="144.4"/>
    <n v="131.19999999999999"/>
    <n v="135.1"/>
    <n v="819"/>
    <n v="139.80000000000001"/>
    <x v="65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586.4999999999998"/>
    <n v="160.30000000000001"/>
    <n v="138.6"/>
    <n v="127.9"/>
    <n v="137"/>
    <n v="266.5"/>
    <n v="143.19999999999999"/>
    <n v="124.7"/>
    <n v="132.5"/>
    <n v="132"/>
    <n v="119.8"/>
    <n v="128"/>
    <n v="140.4"/>
    <n v="128.1"/>
    <n v="128.9"/>
    <n v="780.8"/>
    <n v="135.4"/>
    <x v="65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621.7"/>
    <n v="157.9"/>
    <n v="146"/>
    <n v="137.4"/>
    <n v="144.69999999999999"/>
    <n v="283.39999999999998"/>
    <n v="143.19999999999999"/>
    <n v="136.9"/>
    <n v="137.4"/>
    <n v="136"/>
    <n v="122.9"/>
    <n v="131.80000000000001"/>
    <n v="142.1"/>
    <n v="129.9"/>
    <n v="132.1"/>
    <n v="800.09999999999991"/>
    <n v="137.80000000000001"/>
    <x v="65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650.2999999999997"/>
    <n v="157.30000000000001"/>
    <n v="151.30000000000001"/>
    <n v="144.69999999999999"/>
    <n v="150.30000000000001"/>
    <n v="296"/>
    <n v="143.80000000000001"/>
    <n v="145.1"/>
    <n v="142.19999999999999"/>
    <n v="138.4"/>
    <n v="127.4"/>
    <n v="137.80000000000001"/>
    <n v="145.1"/>
    <n v="131.4"/>
    <n v="135.6"/>
    <n v="822.3"/>
    <n v="140.5"/>
    <x v="66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08.9"/>
    <n v="161"/>
    <n v="138.9"/>
    <n v="128.69999999999999"/>
    <n v="137.4"/>
    <n v="267.60000000000002"/>
    <n v="142.5"/>
    <n v="126.5"/>
    <n v="133.1"/>
    <n v="132.6"/>
    <n v="120.4"/>
    <n v="128.5"/>
    <n v="141.19999999999999"/>
    <n v="128.19999999999999"/>
    <n v="129.5"/>
    <n v="784"/>
    <n v="136.19999999999999"/>
    <x v="66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634.7"/>
    <n v="158.30000000000001"/>
    <n v="146.4"/>
    <n v="138.1"/>
    <n v="145.19999999999999"/>
    <n v="284.5"/>
    <n v="142.5"/>
    <n v="138.1"/>
    <n v="137.9"/>
    <n v="136.19999999999999"/>
    <n v="123.7"/>
    <n v="132.6"/>
    <n v="142.80000000000001"/>
    <n v="130.1"/>
    <n v="132.6"/>
    <n v="803.30000000000007"/>
    <n v="138.5"/>
    <x v="66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668.5000000000002"/>
    <n v="156.1"/>
    <n v="151.5"/>
    <n v="145.1"/>
    <n v="150.6"/>
    <n v="296.60000000000002"/>
    <n v="143.80000000000001"/>
    <n v="146.80000000000001"/>
    <n v="143.1"/>
    <n v="139"/>
    <n v="127.5"/>
    <n v="138.4"/>
    <n v="145.80000000000001"/>
    <n v="131.4"/>
    <n v="136"/>
    <n v="825.19999999999993"/>
    <n v="141.80000000000001"/>
    <x v="67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30.8"/>
    <n v="161.4"/>
    <n v="139.6"/>
    <n v="128.9"/>
    <n v="137.9"/>
    <n v="268.5"/>
    <n v="143.6"/>
    <n v="128.1"/>
    <n v="133.6"/>
    <n v="133.6"/>
    <n v="120.1"/>
    <n v="129"/>
    <n v="144"/>
    <n v="128.19999999999999"/>
    <n v="130.19999999999999"/>
    <n v="788.5"/>
    <n v="137.5"/>
    <x v="67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653.8999999999999"/>
    <n v="157.5"/>
    <n v="146.80000000000001"/>
    <n v="138.4"/>
    <n v="145.6"/>
    <n v="285.20000000000005"/>
    <n v="143.6"/>
    <n v="139.69999999999999"/>
    <n v="138.6"/>
    <n v="137"/>
    <n v="123.6"/>
    <n v="133.1"/>
    <n v="144.69999999999999"/>
    <n v="130.1"/>
    <n v="133.19999999999999"/>
    <n v="807.1"/>
    <n v="139.80000000000001"/>
    <x v="67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676.1"/>
    <n v="156.4"/>
    <n v="152.1"/>
    <n v="145.80000000000001"/>
    <n v="151.30000000000001"/>
    <n v="297.89999999999998"/>
    <n v="143.80000000000001"/>
    <n v="147.69999999999999"/>
    <n v="143.80000000000001"/>
    <n v="139.4"/>
    <n v="128.30000000000001"/>
    <n v="138.6"/>
    <n v="146.9"/>
    <n v="131.30000000000001"/>
    <n v="136.6"/>
    <n v="828.3"/>
    <n v="142.5"/>
    <x v="68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7.5"/>
    <n v="162.1"/>
    <n v="140"/>
    <n v="129"/>
    <n v="138.30000000000001"/>
    <n v="269"/>
    <n v="144.6"/>
    <n v="129.80000000000001"/>
    <n v="134.4"/>
    <n v="134.9"/>
    <n v="120.7"/>
    <n v="129.80000000000001"/>
    <n v="145.30000000000001"/>
    <n v="128.30000000000001"/>
    <n v="131"/>
    <n v="793.39999999999986"/>
    <n v="138"/>
    <x v="68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657.0000000000002"/>
    <n v="157.9"/>
    <n v="147.30000000000001"/>
    <n v="138.80000000000001"/>
    <n v="146.1"/>
    <n v="286.10000000000002"/>
    <n v="144.6"/>
    <n v="140.9"/>
    <n v="139.4"/>
    <n v="137.69999999999999"/>
    <n v="124.3"/>
    <n v="133.6"/>
    <n v="146"/>
    <n v="130.1"/>
    <n v="133.9"/>
    <n v="811.1"/>
    <n v="140.4"/>
    <x v="68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658.5000000000002"/>
    <n v="157.69999999999999"/>
    <n v="152.1"/>
    <n v="146.1"/>
    <n v="151.30000000000001"/>
    <n v="298.2"/>
    <n v="143.80000000000001"/>
    <n v="149"/>
    <n v="144"/>
    <n v="140"/>
    <n v="129.9"/>
    <n v="140"/>
    <n v="147.6"/>
    <n v="132"/>
    <n v="137.4"/>
    <n v="833.5"/>
    <n v="142.1"/>
    <x v="69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09.5"/>
    <n v="163.30000000000001"/>
    <n v="140.80000000000001"/>
    <n v="129.30000000000001"/>
    <n v="139.1"/>
    <n v="270.10000000000002"/>
    <n v="145.30000000000001"/>
    <n v="131.19999999999999"/>
    <n v="134.9"/>
    <n v="135.69999999999999"/>
    <n v="122.5"/>
    <n v="130.19999999999999"/>
    <n v="145.19999999999999"/>
    <n v="129.30000000000001"/>
    <n v="131.9"/>
    <n v="797.8"/>
    <n v="138.1"/>
    <x v="69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639.1"/>
    <n v="159.19999999999999"/>
    <n v="147.69999999999999"/>
    <n v="139.1"/>
    <n v="146.5"/>
    <n v="286.79999999999995"/>
    <n v="145.30000000000001"/>
    <n v="142.30000000000001"/>
    <n v="139.69999999999999"/>
    <n v="138.4"/>
    <n v="126"/>
    <n v="134.5"/>
    <n v="146.19999999999999"/>
    <n v="130.9"/>
    <n v="134.69999999999999"/>
    <n v="815.69999999999993"/>
    <n v="140.19999999999999"/>
    <x v="69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642"/>
    <n v="159.6"/>
    <n v="150.69999999999999"/>
    <n v="144.5"/>
    <n v="149.80000000000001"/>
    <n v="295.2"/>
    <n v="143.80000000000001"/>
    <n v="149.69999999999999"/>
    <n v="147.5"/>
    <n v="144.80000000000001"/>
    <n v="130.80000000000001"/>
    <n v="140.1"/>
    <n v="148"/>
    <n v="134.4"/>
    <n v="139.80000000000001"/>
    <n v="845.6"/>
    <n v="142.19999999999999"/>
    <x v="70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14.6999999999998"/>
    <n v="164"/>
    <n v="141.5"/>
    <n v="129.80000000000001"/>
    <n v="139.69999999999999"/>
    <n v="271.3"/>
    <n v="146.30000000000001"/>
    <n v="133.4"/>
    <n v="135.1"/>
    <n v="136.19999999999999"/>
    <n v="123.3"/>
    <n v="130.69999999999999"/>
    <n v="145.5"/>
    <n v="130.4"/>
    <n v="132.5"/>
    <n v="801.19999999999993"/>
    <n v="138.9"/>
    <x v="70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36.5"/>
    <n v="162.6"/>
    <n v="148"/>
    <n v="139.19999999999999"/>
    <n v="146.80000000000001"/>
    <n v="287.2"/>
    <n v="146.9"/>
    <n v="145.30000000000001"/>
    <n v="142.19999999999999"/>
    <n v="142.1"/>
    <n v="125.5"/>
    <n v="136.5"/>
    <n v="147.80000000000001"/>
    <n v="132"/>
    <n v="136.30000000000001"/>
    <n v="826.09999999999991"/>
    <n v="140.80000000000001"/>
    <x v="70"/>
  </r>
  <r>
    <x v="0"/>
    <x v="5"/>
    <x v="11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47.4999999999995"/>
    <n v="161.9"/>
    <n v="151.69999999999999"/>
    <n v="145.5"/>
    <n v="150.80000000000001"/>
    <n v="297.2"/>
    <n v="143.80000000000001"/>
    <n v="150.30000000000001"/>
    <n v="148"/>
    <n v="145.4"/>
    <n v="130.30000000000001"/>
    <n v="143.1"/>
    <n v="150.19999999999999"/>
    <n v="133.1"/>
    <n v="140.1"/>
    <n v="850.1"/>
    <n v="142.4"/>
    <x v="71"/>
  </r>
  <r>
    <x v="1"/>
    <x v="5"/>
    <x v="11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18.3999999999999"/>
    <n v="164.4"/>
    <n v="142.4"/>
    <n v="130.19999999999999"/>
    <n v="140.5"/>
    <n v="272.60000000000002"/>
    <n v="146.9"/>
    <n v="136.69999999999999"/>
    <n v="135.80000000000001"/>
    <n v="136.80000000000001"/>
    <n v="121.2"/>
    <n v="131.30000000000001"/>
    <n v="146.1"/>
    <n v="130.5"/>
    <n v="132.19999999999999"/>
    <n v="801.7"/>
    <n v="139"/>
    <x v="71"/>
  </r>
  <r>
    <x v="2"/>
    <x v="5"/>
    <x v="11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36.0000000000002"/>
    <n v="162.6"/>
    <n v="148"/>
    <n v="139.1"/>
    <n v="146.69999999999999"/>
    <n v="287.10000000000002"/>
    <n v="146.9"/>
    <n v="145.1"/>
    <n v="142.19999999999999"/>
    <n v="142.1"/>
    <n v="125.5"/>
    <n v="136.5"/>
    <n v="147.80000000000001"/>
    <n v="132"/>
    <n v="136.30000000000001"/>
    <n v="826.09999999999991"/>
    <n v="140.80000000000001"/>
    <x v="71"/>
  </r>
  <r>
    <x v="0"/>
    <x v="5"/>
    <x v="12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34.6000000000001"/>
    <n v="162.4"/>
    <n v="151.6"/>
    <n v="145.9"/>
    <n v="150.80000000000001"/>
    <n v="297.5"/>
    <n v="143.80000000000001"/>
    <n v="149"/>
    <n v="149.5"/>
    <n v="149.6"/>
    <n v="128.9"/>
    <n v="143.30000000000001"/>
    <n v="155.1"/>
    <n v="133.19999999999999"/>
    <n v="141.6"/>
    <n v="859.59999999999991"/>
    <n v="141.9"/>
    <x v="72"/>
  </r>
  <r>
    <x v="1"/>
    <x v="5"/>
    <x v="12"/>
    <n v="138.5"/>
    <n v="147.80000000000001"/>
    <n v="141.1"/>
    <n v="141.6"/>
    <n v="118.1"/>
    <n v="138.5"/>
    <n v="132.4"/>
    <n v="117.5"/>
    <n v="111"/>
    <n v="141.5"/>
    <n v="128.1"/>
    <n v="152.9"/>
    <n v="137.6"/>
    <n v="1609"/>
    <n v="164.6"/>
    <n v="142.69999999999999"/>
    <n v="130.30000000000001"/>
    <n v="140.80000000000001"/>
    <n v="273"/>
    <n v="146.5"/>
    <n v="132.4"/>
    <n v="136.19999999999999"/>
    <n v="137.30000000000001"/>
    <n v="118.8"/>
    <n v="131.69999999999999"/>
    <n v="146.5"/>
    <n v="130.80000000000001"/>
    <n v="131.69999999999999"/>
    <n v="801.3"/>
    <n v="138"/>
    <x v="72"/>
  </r>
  <r>
    <x v="2"/>
    <x v="5"/>
    <x v="12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24.5999999999997"/>
    <n v="163"/>
    <n v="148.1"/>
    <n v="139.4"/>
    <n v="146.80000000000001"/>
    <n v="287.5"/>
    <n v="146.5"/>
    <n v="142.69999999999999"/>
    <n v="143.19999999999999"/>
    <n v="144.9"/>
    <n v="123.6"/>
    <n v="136.80000000000001"/>
    <n v="150.1"/>
    <n v="132.19999999999999"/>
    <n v="136.80000000000001"/>
    <n v="830.8"/>
    <n v="140.1"/>
    <x v="72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2.2"/>
    <n v="162.69999999999999"/>
    <n v="150.6"/>
    <n v="145.1"/>
    <n v="149.9"/>
    <n v="295.7"/>
    <n v="150.69999999999999"/>
    <n v="146.19999999999999"/>
    <n v="150.1"/>
    <n v="149.6"/>
    <n v="128.6"/>
    <n v="142.9"/>
    <n v="155.19999999999999"/>
    <n v="133.5"/>
    <n v="141.69999999999999"/>
    <n v="859.89999999999986"/>
    <n v="141"/>
    <x v="73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07.0000000000002"/>
    <n v="164.7"/>
    <n v="143"/>
    <n v="130.4"/>
    <n v="141.1"/>
    <n v="273.39999999999998"/>
    <n v="147.69999999999999"/>
    <n v="128.6"/>
    <n v="136.30000000000001"/>
    <n v="137.80000000000001"/>
    <n v="118.6"/>
    <n v="131.9"/>
    <n v="146.6"/>
    <n v="131.69999999999999"/>
    <n v="131.80000000000001"/>
    <n v="802.90000000000009"/>
    <n v="138"/>
    <x v="73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15.9999999999998"/>
    <n v="163.19999999999999"/>
    <n v="147.6"/>
    <n v="139"/>
    <n v="146.4"/>
    <n v="286.60000000000002"/>
    <n v="147.69999999999999"/>
    <n v="139.5"/>
    <n v="143.6"/>
    <n v="145.1"/>
    <n v="123.3"/>
    <n v="136.69999999999999"/>
    <n v="150.19999999999999"/>
    <n v="132.80000000000001"/>
    <n v="136.9"/>
    <n v="831.7"/>
    <n v="139.6"/>
    <x v="73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2.6000000000001"/>
    <n v="162.80000000000001"/>
    <n v="150.5"/>
    <n v="146.1"/>
    <n v="149.9"/>
    <n v="296.60000000000002"/>
    <n v="150.69999999999999"/>
    <n v="145.30000000000001"/>
    <n v="150.1"/>
    <n v="149.9"/>
    <n v="129.19999999999999"/>
    <n v="143.4"/>
    <n v="155.5"/>
    <n v="134.9"/>
    <n v="142.19999999999999"/>
    <n v="863"/>
    <n v="141"/>
    <x v="74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16.4"/>
    <n v="164.9"/>
    <n v="143.30000000000001"/>
    <n v="130.80000000000001"/>
    <n v="141.4"/>
    <n v="274.10000000000002"/>
    <n v="148.5"/>
    <n v="127.1"/>
    <n v="136.6"/>
    <n v="138.5"/>
    <n v="119.2"/>
    <n v="132.19999999999999"/>
    <n v="146.6"/>
    <n v="133"/>
    <n v="132.4"/>
    <n v="806.1"/>
    <n v="138.6"/>
    <x v="74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19.6"/>
    <n v="163.4"/>
    <n v="147.69999999999999"/>
    <n v="139.69999999999999"/>
    <n v="146.5"/>
    <n v="287.39999999999998"/>
    <n v="148.5"/>
    <n v="138.4"/>
    <n v="143.69999999999999"/>
    <n v="145.6"/>
    <n v="123.9"/>
    <n v="137.1"/>
    <n v="150.30000000000001"/>
    <n v="134.1"/>
    <n v="137.4"/>
    <n v="834.69999999999993"/>
    <n v="139.9"/>
    <x v="74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3.9000000000003"/>
    <n v="162.9"/>
    <n v="150.80000000000001"/>
    <n v="146.1"/>
    <n v="150.1"/>
    <n v="296.89999999999998"/>
    <n v="150.69999999999999"/>
    <n v="146.4"/>
    <n v="150"/>
    <n v="150.4"/>
    <n v="129.9"/>
    <n v="143.80000000000001"/>
    <n v="155.5"/>
    <n v="134"/>
    <n v="142.4"/>
    <n v="863.59999999999991"/>
    <n v="141.19999999999999"/>
    <x v="75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28.8000000000002"/>
    <n v="165.3"/>
    <n v="143.5"/>
    <n v="131.19999999999999"/>
    <n v="141.6"/>
    <n v="274.7"/>
    <n v="149"/>
    <n v="128.80000000000001"/>
    <n v="136.80000000000001"/>
    <n v="139.19999999999999"/>
    <n v="119.9"/>
    <n v="133"/>
    <n v="146.69999999999999"/>
    <n v="132.5"/>
    <n v="132.80000000000001"/>
    <n v="808.09999999999991"/>
    <n v="139.5"/>
    <x v="75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24.8000000000002"/>
    <n v="163.5"/>
    <n v="147.9"/>
    <n v="139.9"/>
    <n v="146.69999999999999"/>
    <n v="287.8"/>
    <n v="149"/>
    <n v="139.69999999999999"/>
    <n v="143.80000000000001"/>
    <n v="146.19999999999999"/>
    <n v="124.6"/>
    <n v="137.69999999999999"/>
    <n v="150.30000000000001"/>
    <n v="133.4"/>
    <n v="137.69999999999999"/>
    <n v="835.99999999999989"/>
    <n v="140.4"/>
    <x v="75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42.9"/>
    <n v="163.30000000000001"/>
    <n v="151.30000000000001"/>
    <n v="146.6"/>
    <n v="150.69999999999999"/>
    <n v="297.89999999999998"/>
    <n v="150.69999999999999"/>
    <n v="146.9"/>
    <n v="149.5"/>
    <n v="151.30000000000001"/>
    <n v="130.19999999999999"/>
    <n v="145.9"/>
    <n v="156.69999999999999"/>
    <n v="133.9"/>
    <n v="142.9"/>
    <n v="867.49999999999989"/>
    <n v="142.4"/>
    <x v="76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7.7000000000003"/>
    <n v="166.2"/>
    <n v="144"/>
    <n v="131.69999999999999"/>
    <n v="142.19999999999999"/>
    <n v="275.7"/>
    <n v="150.1"/>
    <n v="129.4"/>
    <n v="137.19999999999999"/>
    <n v="139.80000000000001"/>
    <n v="120.1"/>
    <n v="134"/>
    <n v="148"/>
    <n v="132.6"/>
    <n v="133.30000000000001"/>
    <n v="811.7"/>
    <n v="141.5"/>
    <x v="76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51.0000000000002"/>
    <n v="164.1"/>
    <n v="148.4"/>
    <n v="140.4"/>
    <n v="147.30000000000001"/>
    <n v="288.8"/>
    <n v="150.1"/>
    <n v="140.30000000000001"/>
    <n v="143.69999999999999"/>
    <n v="146.9"/>
    <n v="124.9"/>
    <n v="139.19999999999999"/>
    <n v="151.6"/>
    <n v="133.4"/>
    <n v="138.19999999999999"/>
    <n v="839.7"/>
    <n v="142"/>
    <x v="76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63.1999999999998"/>
    <n v="164.2"/>
    <n v="151.4"/>
    <n v="146.5"/>
    <n v="150.69999999999999"/>
    <n v="297.89999999999998"/>
    <n v="150.69999999999999"/>
    <n v="147.80000000000001"/>
    <n v="149.6"/>
    <n v="151.69999999999999"/>
    <n v="130.19999999999999"/>
    <n v="146.4"/>
    <n v="157.69999999999999"/>
    <n v="134.80000000000001"/>
    <n v="143.30000000000001"/>
    <n v="870.39999999999986"/>
    <n v="143.6"/>
    <x v="77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87.6999999999998"/>
    <n v="166.7"/>
    <n v="144.30000000000001"/>
    <n v="131.69999999999999"/>
    <n v="142.4"/>
    <n v="276"/>
    <n v="149.4"/>
    <n v="130.5"/>
    <n v="137.4"/>
    <n v="140.30000000000001"/>
    <n v="119.6"/>
    <n v="134.30000000000001"/>
    <n v="148.9"/>
    <n v="133.69999999999999"/>
    <n v="133.6"/>
    <n v="814.2"/>
    <n v="142.1"/>
    <x v="77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71.4"/>
    <n v="164.9"/>
    <n v="148.6"/>
    <n v="140.4"/>
    <n v="147.4"/>
    <n v="289"/>
    <n v="149.4"/>
    <n v="141.19999999999999"/>
    <n v="143.80000000000001"/>
    <n v="147.4"/>
    <n v="124.6"/>
    <n v="139.6"/>
    <n v="152.5"/>
    <n v="134.30000000000001"/>
    <n v="138.6"/>
    <n v="842.2"/>
    <n v="142.9"/>
    <x v="77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83.8999999999999"/>
    <n v="164.5"/>
    <n v="151.6"/>
    <n v="146.6"/>
    <n v="150.9"/>
    <n v="298.2"/>
    <n v="150.69999999999999"/>
    <n v="146.80000000000001"/>
    <n v="150"/>
    <n v="152.19999999999999"/>
    <n v="131.19999999999999"/>
    <n v="147.5"/>
    <n v="159.1"/>
    <n v="136.1"/>
    <n v="144.19999999999999"/>
    <n v="876.1"/>
    <n v="144.9"/>
    <x v="78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709.6999999999998"/>
    <n v="167.2"/>
    <n v="144.69999999999999"/>
    <n v="131.9"/>
    <n v="142.69999999999999"/>
    <n v="276.60000000000002"/>
    <n v="150.6"/>
    <n v="127"/>
    <n v="137.69999999999999"/>
    <n v="140.80000000000001"/>
    <n v="120.6"/>
    <n v="135"/>
    <n v="150.4"/>
    <n v="135.1"/>
    <n v="134.5"/>
    <n v="819.6"/>
    <n v="143.30000000000001"/>
    <x v="78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92.8"/>
    <n v="165.2"/>
    <n v="148.9"/>
    <n v="140.5"/>
    <n v="147.6"/>
    <n v="289.39999999999998"/>
    <n v="150.6"/>
    <n v="139.30000000000001"/>
    <n v="144.19999999999999"/>
    <n v="147.9"/>
    <n v="125.6"/>
    <n v="140.5"/>
    <n v="154"/>
    <n v="135.69999999999999"/>
    <n v="139.5"/>
    <n v="847.90000000000009"/>
    <n v="144.19999999999999"/>
    <x v="78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90.5000000000002"/>
    <n v="165.1"/>
    <n v="151.80000000000001"/>
    <n v="146.6"/>
    <n v="151.1"/>
    <n v="298.39999999999998"/>
    <n v="150.69999999999999"/>
    <n v="146.4"/>
    <n v="150.19999999999999"/>
    <n v="152.69999999999999"/>
    <n v="131.4"/>
    <n v="148"/>
    <n v="159.69999999999999"/>
    <n v="138.80000000000001"/>
    <n v="144.9"/>
    <n v="880.8"/>
    <n v="145.69999999999999"/>
    <x v="79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720"/>
    <n v="167.9"/>
    <n v="145"/>
    <n v="132.19999999999999"/>
    <n v="143"/>
    <n v="277.2"/>
    <n v="151.6"/>
    <n v="125.5"/>
    <n v="138.1"/>
    <n v="141.5"/>
    <n v="120.8"/>
    <n v="135.4"/>
    <n v="151.5"/>
    <n v="137.80000000000001"/>
    <n v="135.30000000000001"/>
    <n v="825.10000000000014"/>
    <n v="144.19999999999999"/>
    <x v="79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700.6"/>
    <n v="165.8"/>
    <n v="149.1"/>
    <n v="140.6"/>
    <n v="147.9"/>
    <n v="289.7"/>
    <n v="151.6"/>
    <n v="138.5"/>
    <n v="144.5"/>
    <n v="148.5"/>
    <n v="125.8"/>
    <n v="140.9"/>
    <n v="154.9"/>
    <n v="138.4"/>
    <n v="140.19999999999999"/>
    <n v="853"/>
    <n v="145"/>
    <x v="79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703.2"/>
    <n v="165.7"/>
    <n v="151.69999999999999"/>
    <n v="146.6"/>
    <n v="151"/>
    <n v="298.29999999999995"/>
    <n v="150.69999999999999"/>
    <n v="146.9"/>
    <n v="150.30000000000001"/>
    <n v="153.4"/>
    <n v="131.6"/>
    <n v="148.30000000000001"/>
    <n v="160.19999999999999"/>
    <n v="140.19999999999999"/>
    <n v="145.4"/>
    <n v="884.00000000000023"/>
    <n v="146.69999999999999"/>
    <x v="80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725.4"/>
    <n v="168.6"/>
    <n v="145.30000000000001"/>
    <n v="132.19999999999999"/>
    <n v="143.30000000000001"/>
    <n v="277.5"/>
    <n v="152.19999999999999"/>
    <n v="126.6"/>
    <n v="138.30000000000001"/>
    <n v="141.9"/>
    <n v="121.2"/>
    <n v="135.9"/>
    <n v="151.6"/>
    <n v="139"/>
    <n v="135.69999999999999"/>
    <n v="827.90000000000009"/>
    <n v="144.69999999999999"/>
    <x v="80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710.6999999999998"/>
    <n v="166.5"/>
    <n v="149.19999999999999"/>
    <n v="140.6"/>
    <n v="147.9"/>
    <n v="289.79999999999995"/>
    <n v="152.19999999999999"/>
    <n v="139.19999999999999"/>
    <n v="144.6"/>
    <n v="149"/>
    <n v="126.1"/>
    <n v="141.30000000000001"/>
    <n v="155.19999999999999"/>
    <n v="139.69999999999999"/>
    <n v="140.69999999999999"/>
    <n v="855.90000000000009"/>
    <n v="145.80000000000001"/>
    <x v="80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728.5999999999997"/>
    <n v="166.3"/>
    <n v="151.69999999999999"/>
    <n v="146.69999999999999"/>
    <n v="151"/>
    <n v="298.39999999999998"/>
    <n v="150.69999999999999"/>
    <n v="147.69999999999999"/>
    <n v="150.6"/>
    <n v="153.69999999999999"/>
    <n v="131.69999999999999"/>
    <n v="148.69999999999999"/>
    <n v="160.69999999999999"/>
    <n v="140.30000000000001"/>
    <n v="145.69999999999999"/>
    <n v="885.69999999999982"/>
    <n v="148.30000000000001"/>
    <x v="81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750.7"/>
    <n v="169.3"/>
    <n v="145.9"/>
    <n v="132.4"/>
    <n v="143.9"/>
    <n v="278.3"/>
    <n v="153"/>
    <n v="128.9"/>
    <n v="138.69999999999999"/>
    <n v="142.4"/>
    <n v="121.5"/>
    <n v="136.19999999999999"/>
    <n v="151.69999999999999"/>
    <n v="139.5"/>
    <n v="136"/>
    <n v="830"/>
    <n v="146"/>
    <x v="81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735.9999999999998"/>
    <n v="167.1"/>
    <n v="149.4"/>
    <n v="140.80000000000001"/>
    <n v="148.19999999999999"/>
    <n v="290.20000000000005"/>
    <n v="153"/>
    <n v="140.6"/>
    <n v="145"/>
    <n v="149.4"/>
    <n v="126.3"/>
    <n v="141.69999999999999"/>
    <n v="155.4"/>
    <n v="140"/>
    <n v="141"/>
    <n v="857.8"/>
    <n v="147.19999999999999"/>
    <x v="81"/>
  </r>
  <r>
    <x v="0"/>
    <x v="6"/>
    <x v="11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753.7"/>
    <n v="167.2"/>
    <n v="152.30000000000001"/>
    <n v="147"/>
    <n v="151.5"/>
    <n v="299.3"/>
    <n v="150.69999999999999"/>
    <n v="148.4"/>
    <n v="150.9"/>
    <n v="154.30000000000001"/>
    <n v="132.1"/>
    <n v="149.1"/>
    <n v="160.80000000000001"/>
    <n v="140.6"/>
    <n v="146.1"/>
    <n v="887.80000000000007"/>
    <n v="149.9"/>
    <x v="82"/>
  </r>
  <r>
    <x v="1"/>
    <x v="6"/>
    <x v="11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770.3999999999999"/>
    <n v="169.9"/>
    <n v="146.30000000000001"/>
    <n v="132.6"/>
    <n v="144.19999999999999"/>
    <n v="278.89999999999998"/>
    <n v="153.5"/>
    <n v="132.19999999999999"/>
    <n v="139.1"/>
    <n v="142.80000000000001"/>
    <n v="121.7"/>
    <n v="136.69999999999999"/>
    <n v="151.80000000000001"/>
    <n v="139.80000000000001"/>
    <n v="136.30000000000001"/>
    <n v="831.89999999999986"/>
    <n v="147"/>
    <x v="82"/>
  </r>
  <r>
    <x v="2"/>
    <x v="6"/>
    <x v="11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759"/>
    <n v="167.9"/>
    <n v="149.9"/>
    <n v="141"/>
    <n v="148.6"/>
    <n v="290.89999999999998"/>
    <n v="153.5"/>
    <n v="142.30000000000001"/>
    <n v="145.30000000000001"/>
    <n v="149.9"/>
    <n v="126.6"/>
    <n v="142.1"/>
    <n v="155.5"/>
    <n v="140.30000000000001"/>
    <n v="141.30000000000001"/>
    <n v="859.7"/>
    <n v="148.6"/>
    <x v="82"/>
  </r>
  <r>
    <x v="0"/>
    <x v="6"/>
    <x v="12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786.6999999999996"/>
    <n v="167.8"/>
    <n v="152.6"/>
    <n v="147.30000000000001"/>
    <n v="151.9"/>
    <n v="299.89999999999998"/>
    <n v="150.69999999999999"/>
    <n v="149.9"/>
    <n v="151.19999999999999"/>
    <n v="154.80000000000001"/>
    <n v="135"/>
    <n v="149.5"/>
    <n v="161.1"/>
    <n v="140.6"/>
    <n v="147.1"/>
    <n v="892.2"/>
    <n v="152.30000000000001"/>
    <x v="83"/>
  </r>
  <r>
    <x v="1"/>
    <x v="6"/>
    <x v="12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800.4"/>
    <n v="170.4"/>
    <n v="146.80000000000001"/>
    <n v="132.80000000000001"/>
    <n v="144.6"/>
    <n v="279.60000000000002"/>
    <n v="152.80000000000001"/>
    <n v="133.6"/>
    <n v="139.80000000000001"/>
    <n v="143.19999999999999"/>
    <n v="125.2"/>
    <n v="136.80000000000001"/>
    <n v="151.9"/>
    <n v="140.19999999999999"/>
    <n v="137.69999999999999"/>
    <n v="837.09999999999991"/>
    <n v="148.30000000000001"/>
    <x v="83"/>
  </r>
  <r>
    <x v="2"/>
    <x v="6"/>
    <x v="12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791.1000000000001"/>
    <n v="168.5"/>
    <n v="150.30000000000001"/>
    <n v="141.30000000000001"/>
    <n v="149"/>
    <n v="291.60000000000002"/>
    <n v="152.80000000000001"/>
    <n v="143.69999999999999"/>
    <n v="145.80000000000001"/>
    <n v="150.4"/>
    <n v="129.80000000000001"/>
    <n v="142.30000000000001"/>
    <n v="155.69999999999999"/>
    <n v="140.4"/>
    <n v="142.5"/>
    <n v="864.4"/>
    <n v="150.4"/>
    <x v="83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785.6"/>
    <n v="168.6"/>
    <n v="152.80000000000001"/>
    <n v="147.4"/>
    <n v="152.1"/>
    <n v="300.20000000000005"/>
    <n v="155.69999999999999"/>
    <n v="150.4"/>
    <n v="151.69999999999999"/>
    <n v="155.69999999999999"/>
    <n v="136.30000000000001"/>
    <n v="150.1"/>
    <n v="161.69999999999999"/>
    <n v="142.5"/>
    <n v="148.1"/>
    <n v="898"/>
    <n v="151.9"/>
    <x v="84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90.9999999999998"/>
    <n v="170.8"/>
    <n v="147"/>
    <n v="133.19999999999999"/>
    <n v="144.9"/>
    <n v="280.2"/>
    <n v="153.9"/>
    <n v="135.1"/>
    <n v="140.1"/>
    <n v="143.80000000000001"/>
    <n v="126.1"/>
    <n v="137.19999999999999"/>
    <n v="152.1"/>
    <n v="142.1"/>
    <n v="138.4"/>
    <n v="841.40000000000009"/>
    <n v="148.19999999999999"/>
    <x v="84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786.8999999999999"/>
    <n v="169.2"/>
    <n v="150.5"/>
    <n v="141.5"/>
    <n v="149.19999999999999"/>
    <n v="292"/>
    <n v="153.9"/>
    <n v="144.6"/>
    <n v="146.19999999999999"/>
    <n v="151.19999999999999"/>
    <n v="130.9"/>
    <n v="142.80000000000001"/>
    <n v="156.1"/>
    <n v="142.30000000000001"/>
    <n v="143.4"/>
    <n v="869.5"/>
    <n v="150.19999999999999"/>
    <x v="84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759.9999999999998"/>
    <n v="169.4"/>
    <n v="153"/>
    <n v="147.5"/>
    <n v="152.30000000000001"/>
    <n v="300.5"/>
    <n v="155.69999999999999"/>
    <n v="152.30000000000001"/>
    <n v="151.80000000000001"/>
    <n v="156.19999999999999"/>
    <n v="136"/>
    <n v="150.4"/>
    <n v="161.9"/>
    <n v="143.4"/>
    <n v="148.4"/>
    <n v="899.69999999999993"/>
    <n v="150.4"/>
    <x v="85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64.8999999999999"/>
    <n v="172"/>
    <n v="147.30000000000001"/>
    <n v="133.5"/>
    <n v="145.19999999999999"/>
    <n v="280.8"/>
    <n v="154.80000000000001"/>
    <n v="138.9"/>
    <n v="140.4"/>
    <n v="144.4"/>
    <n v="125.2"/>
    <n v="137.69999999999999"/>
    <n v="152.19999999999999"/>
    <n v="143.5"/>
    <n v="138.4"/>
    <n v="843.40000000000009"/>
    <n v="147.69999999999999"/>
    <x v="85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61.1"/>
    <n v="170.1"/>
    <n v="150.80000000000001"/>
    <n v="141.69999999999999"/>
    <n v="149.5"/>
    <n v="292.5"/>
    <n v="154.80000000000001"/>
    <n v="147.19999999999999"/>
    <n v="146.4"/>
    <n v="151.69999999999999"/>
    <n v="130.30000000000001"/>
    <n v="143.19999999999999"/>
    <n v="156.19999999999999"/>
    <n v="143.4"/>
    <n v="143.6"/>
    <n v="871.19999999999993"/>
    <n v="149.1"/>
    <x v="85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46.3999999999996"/>
    <n v="170.5"/>
    <n v="153.4"/>
    <n v="147.6"/>
    <n v="152.5"/>
    <n v="301"/>
    <n v="155.69999999999999"/>
    <n v="153.4"/>
    <n v="151.5"/>
    <n v="156.69999999999999"/>
    <n v="135.80000000000001"/>
    <n v="151.19999999999999"/>
    <n v="161.19999999999999"/>
    <n v="145.1"/>
    <n v="148.6"/>
    <n v="901.50000000000011"/>
    <n v="149.80000000000001"/>
    <x v="86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48.4"/>
    <n v="173.3"/>
    <n v="147.69999999999999"/>
    <n v="133.80000000000001"/>
    <n v="145.6"/>
    <n v="281.5"/>
    <n v="154.5"/>
    <n v="141.4"/>
    <n v="140.80000000000001"/>
    <n v="145"/>
    <n v="124.6"/>
    <n v="137.9"/>
    <n v="152.5"/>
    <n v="145.30000000000001"/>
    <n v="138.69999999999999"/>
    <n v="846.09999999999991"/>
    <n v="147.30000000000001"/>
    <x v="86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46.5"/>
    <n v="171.2"/>
    <n v="151.19999999999999"/>
    <n v="141.9"/>
    <n v="149.80000000000001"/>
    <n v="293.10000000000002"/>
    <n v="154.5"/>
    <n v="148.9"/>
    <n v="146.4"/>
    <n v="152.30000000000001"/>
    <n v="129.9"/>
    <n v="143.69999999999999"/>
    <n v="156.1"/>
    <n v="145.19999999999999"/>
    <n v="143.80000000000001"/>
    <n v="873.59999999999991"/>
    <n v="148.6"/>
    <x v="86"/>
  </r>
  <r>
    <x v="0"/>
    <x v="7"/>
    <x v="3"/>
    <n v="147.19999999999999"/>
    <n v="155"/>
    <n v="146.9"/>
    <n v="155.6"/>
    <n v="137.1"/>
    <n v="147.30000000000001"/>
    <n v="162.69999999999999"/>
    <n v="150.19999999999999"/>
    <n v="119.8"/>
    <n v="158.69999999999999"/>
    <n v="139.19999999999999"/>
    <n v="148.9270491803278"/>
    <n v="150.1"/>
    <n v="1768.627049180328"/>
    <n v="153.68934426229515"/>
    <n v="145.94590163934427"/>
    <n v="141.92131147540988"/>
    <n v="145.37786885245899"/>
    <n v="287.86721311475412"/>
    <n v="155.69999999999999"/>
    <n v="148.4"/>
    <n v="151.65"/>
    <n v="157.19999999999999"/>
    <n v="130.19344262295087"/>
    <n v="136.79672131147541"/>
    <n v="142.96721311475412"/>
    <n v="133.61721311475409"/>
    <n v="136.81147540983611"/>
    <n v="852.42459016393457"/>
    <n v="150.52500000000001"/>
    <x v="87"/>
  </r>
  <r>
    <x v="1"/>
    <x v="7"/>
    <x v="3"/>
    <n v="151.80000000000001"/>
    <n v="157.80000000000001"/>
    <n v="151.9"/>
    <n v="155.5"/>
    <n v="131.6"/>
    <n v="152.9"/>
    <n v="180"/>
    <n v="150.80000000000001"/>
    <n v="121.2"/>
    <n v="154"/>
    <n v="133.5"/>
    <n v="149.24836065573771"/>
    <n v="153.5"/>
    <n v="1790.2483606557378"/>
    <n v="157.69590163934421"/>
    <n v="138.87131147540984"/>
    <n v="129.31721311475414"/>
    <n v="137.41557377049182"/>
    <n v="268.18852459016398"/>
    <n v="155.6"/>
    <n v="137.1"/>
    <n v="140.60000000000002"/>
    <n v="145.77500000000001"/>
    <n v="124.26065573770495"/>
    <n v="131.21557377049183"/>
    <n v="139.48196721311479"/>
    <n v="133.05491803278687"/>
    <n v="131.60327868852454"/>
    <n v="814.38811475409841"/>
    <n v="148.6"/>
    <x v="87"/>
  </r>
  <r>
    <x v="2"/>
    <x v="7"/>
    <x v="3"/>
    <n v="148.69999999999999"/>
    <n v="156"/>
    <n v="148.80000000000001"/>
    <n v="155.6"/>
    <n v="135.1"/>
    <n v="149.9"/>
    <n v="168.6"/>
    <n v="150.4"/>
    <n v="120.3"/>
    <n v="157.1"/>
    <n v="136.80000000000001"/>
    <n v="149.0860655737705"/>
    <n v="151.4"/>
    <n v="1776.3860655737703"/>
    <n v="177.35"/>
    <n v="143.17377049180331"/>
    <n v="136.69344262295084"/>
    <n v="142.22950819672127"/>
    <n v="279.86721311475412"/>
    <n v="155.6"/>
    <n v="144.1"/>
    <n v="146.4"/>
    <n v="153.35000000000002"/>
    <n v="127.05737704918033"/>
    <n v="133.66311475409836"/>
    <n v="140.94426229508201"/>
    <n v="133.37786885245902"/>
    <n v="134.29262295081969"/>
    <n v="834.7926229508198"/>
    <n v="150.19999999999999"/>
    <x v="87"/>
  </r>
  <r>
    <x v="0"/>
    <x v="7"/>
    <x v="4"/>
    <n v="136.1"/>
    <n v="155"/>
    <n v="140"/>
    <n v="140.62601626016257"/>
    <n v="136.19024390243908"/>
    <n v="141.08699186991873"/>
    <n v="148.62276422764231"/>
    <n v="141.23902439024391"/>
    <n v="110.97073170731707"/>
    <n v="143.65691056910572"/>
    <n v="137.20162601626018"/>
    <n v="148.9270491803278"/>
    <n v="151.19999999999999"/>
    <n v="1679.6213581234174"/>
    <n v="153.68934426229515"/>
    <n v="145.94590163934427"/>
    <n v="141.92131147540988"/>
    <n v="145.37786885245899"/>
    <n v="287.86721311475412"/>
    <n v="155.69999999999999"/>
    <n v="140.52032520325199"/>
    <n v="151.67500000000001"/>
    <n v="157.69999999999999"/>
    <n v="130.19344262295087"/>
    <n v="136.79672131147541"/>
    <n v="142.96721311475412"/>
    <n v="133.61721311475409"/>
    <n v="136.81147540983611"/>
    <n v="852.94959016393454"/>
    <n v="151.25"/>
    <x v="88"/>
  </r>
  <r>
    <x v="1"/>
    <x v="7"/>
    <x v="4"/>
    <n v="137.4"/>
    <n v="157.80000000000001"/>
    <n v="141.69999999999999"/>
    <n v="139.96585365853664"/>
    <n v="127.2569105691057"/>
    <n v="140.58780487804876"/>
    <n v="164.62113821138215"/>
    <n v="141.65528455284556"/>
    <n v="110.85203252032518"/>
    <n v="145.59756097560975"/>
    <n v="130.60569105691056"/>
    <n v="149.24836065573771"/>
    <n v="155.25"/>
    <n v="1687.2906370785017"/>
    <n v="157.69590163934421"/>
    <n v="138.87131147540984"/>
    <n v="129.31721311475414"/>
    <n v="137.41557377049182"/>
    <n v="268.18852459016398"/>
    <n v="155.14999999999998"/>
    <n v="137.1"/>
    <n v="140.5"/>
    <n v="146.55000000000001"/>
    <n v="124.26065573770495"/>
    <n v="131.21557377049183"/>
    <n v="139.48196721311479"/>
    <n v="133.05491803278687"/>
    <n v="131.60327868852454"/>
    <n v="815.06311475409848"/>
    <n v="149.69999999999999"/>
    <x v="88"/>
  </r>
  <r>
    <x v="2"/>
    <x v="7"/>
    <x v="4"/>
    <n v="136.5"/>
    <n v="156"/>
    <n v="140.69999999999999"/>
    <n v="140.38373983739834"/>
    <n v="132.9317073170732"/>
    <n v="140.84796747967485"/>
    <n v="154.01219512195132"/>
    <n v="141.39837398373979"/>
    <n v="110.95203252032525"/>
    <n v="144.31219512195125"/>
    <n v="134.47154471544715"/>
    <n v="149.0860655737705"/>
    <n v="152.69999999999999"/>
    <n v="1681.5958216713316"/>
    <n v="180.42500000000001"/>
    <n v="143.17377049180331"/>
    <n v="136.69344262295084"/>
    <n v="142.22950819672127"/>
    <n v="279.86721311475412"/>
    <n v="155.69999999999999"/>
    <n v="137.22682926829273"/>
    <n v="146.4"/>
    <n v="153.875"/>
    <n v="127.05737704918033"/>
    <n v="133.66311475409836"/>
    <n v="140.94426229508201"/>
    <n v="133.37786885245902"/>
    <n v="134.29262295081969"/>
    <n v="835.31762295081967"/>
    <n v="151"/>
    <x v="88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798.7"/>
    <n v="182.4"/>
    <n v="154.69999999999999"/>
    <n v="150"/>
    <n v="154.1"/>
    <n v="304.7"/>
    <n v="155.69999999999999"/>
    <n v="144.9"/>
    <n v="151.69999999999999"/>
    <n v="158.19999999999999"/>
    <n v="141.4"/>
    <n v="153.19999999999999"/>
    <n v="161.80000000000001"/>
    <n v="151.19999999999999"/>
    <n v="151.69999999999999"/>
    <n v="917.5"/>
    <n v="152.69999999999999"/>
    <x v="89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37.9999999999998"/>
    <n v="186.7"/>
    <n v="149.1"/>
    <n v="136.6"/>
    <n v="147.19999999999999"/>
    <n v="285.7"/>
    <n v="154.69999999999999"/>
    <n v="137.1"/>
    <n v="140.4"/>
    <n v="148.1"/>
    <n v="129.30000000000001"/>
    <n v="144.5"/>
    <n v="152.5"/>
    <n v="152.19999999999999"/>
    <n v="142"/>
    <n v="867"/>
    <n v="150.80000000000001"/>
    <x v="89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12.8000000000002"/>
    <n v="183.5"/>
    <n v="152.5"/>
    <n v="144.4"/>
    <n v="151.4"/>
    <n v="296.89999999999998"/>
    <n v="154.69999999999999"/>
    <n v="141.9"/>
    <n v="146.4"/>
    <n v="154.4"/>
    <n v="135"/>
    <n v="148.30000000000001"/>
    <n v="156.4"/>
    <n v="151.6"/>
    <n v="147"/>
    <n v="892.1"/>
    <n v="151.80000000000001"/>
    <x v="89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798.7"/>
    <n v="182.4"/>
    <n v="154.69999999999999"/>
    <n v="150"/>
    <n v="154.1"/>
    <n v="304.7"/>
    <n v="155.69999999999999"/>
    <n v="144.9"/>
    <n v="151.69999999999999"/>
    <n v="158.19999999999999"/>
    <n v="141.4"/>
    <n v="153.19999999999999"/>
    <n v="161.80000000000001"/>
    <n v="151.19999999999999"/>
    <n v="151.69999999999999"/>
    <n v="917.5"/>
    <n v="152.69999999999999"/>
    <x v="90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37.9999999999998"/>
    <n v="186.7"/>
    <n v="149.1"/>
    <n v="136.6"/>
    <n v="147.19999999999999"/>
    <n v="285.7"/>
    <n v="154.69999999999999"/>
    <n v="137.1"/>
    <n v="140.4"/>
    <n v="148.1"/>
    <n v="129.30000000000001"/>
    <n v="144.5"/>
    <n v="152.5"/>
    <n v="152.19999999999999"/>
    <n v="142"/>
    <n v="867"/>
    <n v="150.80000000000001"/>
    <x v="90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12.8000000000002"/>
    <n v="183.5"/>
    <n v="152.5"/>
    <n v="144.4"/>
    <n v="151.4"/>
    <n v="296.89999999999998"/>
    <n v="154.69999999999999"/>
    <n v="141.9"/>
    <n v="146.4"/>
    <n v="154.4"/>
    <n v="135"/>
    <n v="148.30000000000001"/>
    <n v="156.4"/>
    <n v="151.6"/>
    <n v="147"/>
    <n v="892.1"/>
    <n v="151.80000000000001"/>
    <x v="90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23.3"/>
    <n v="180.9"/>
    <n v="155.1"/>
    <n v="149.30000000000001"/>
    <n v="154.30000000000001"/>
    <n v="304.39999999999998"/>
    <n v="155.69999999999999"/>
    <n v="145.80000000000001"/>
    <n v="151.9"/>
    <n v="158.80000000000001"/>
    <n v="143.6"/>
    <n v="152.19999999999999"/>
    <n v="162.69999999999999"/>
    <n v="153.6"/>
    <n v="153"/>
    <n v="922.80000000000007"/>
    <n v="154.69999999999999"/>
    <x v="91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64.9999999999998"/>
    <n v="187.2"/>
    <n v="150"/>
    <n v="135.19999999999999"/>
    <n v="147.80000000000001"/>
    <n v="285.2"/>
    <n v="155.5"/>
    <n v="138.30000000000001"/>
    <n v="144.5"/>
    <n v="148.69999999999999"/>
    <n v="133.9"/>
    <n v="141.19999999999999"/>
    <n v="155.5"/>
    <n v="155.19999999999999"/>
    <n v="144.80000000000001"/>
    <n v="879"/>
    <n v="152.9"/>
    <x v="91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38.1999999999998"/>
    <n v="182.6"/>
    <n v="153.1"/>
    <n v="143.4"/>
    <n v="151.69999999999999"/>
    <n v="296.5"/>
    <n v="155.5"/>
    <n v="143"/>
    <n v="148.4"/>
    <n v="155"/>
    <n v="138.5"/>
    <n v="146"/>
    <n v="158.5"/>
    <n v="154.30000000000001"/>
    <n v="149"/>
    <n v="900.7"/>
    <n v="153.9"/>
    <x v="91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31.3"/>
    <n v="182.9"/>
    <n v="155.4"/>
    <n v="149.9"/>
    <n v="154.6"/>
    <n v="305.3"/>
    <n v="155.69999999999999"/>
    <n v="146.4"/>
    <n v="151.6"/>
    <n v="159.1"/>
    <n v="144.6"/>
    <n v="152.80000000000001"/>
    <n v="161.1"/>
    <n v="157.4"/>
    <n v="153.69999999999999"/>
    <n v="926.59999999999991"/>
    <n v="155.4"/>
    <x v="92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0.3000000000002"/>
    <n v="188.7"/>
    <n v="150.19999999999999"/>
    <n v="136.30000000000001"/>
    <n v="148.1"/>
    <n v="286.5"/>
    <n v="156.30000000000001"/>
    <n v="137.19999999999999"/>
    <n v="145.4"/>
    <n v="150"/>
    <n v="135.1"/>
    <n v="141.80000000000001"/>
    <n v="154.9"/>
    <n v="159.80000000000001"/>
    <n v="146"/>
    <n v="887"/>
    <n v="154"/>
    <x v="92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9"/>
    <n v="184.4"/>
    <n v="153.4"/>
    <n v="144.30000000000001"/>
    <n v="152"/>
    <n v="297.70000000000005"/>
    <n v="156.30000000000001"/>
    <n v="142.9"/>
    <n v="148.69999999999999"/>
    <n v="155.6"/>
    <n v="139.6"/>
    <n v="146.6"/>
    <n v="157.5"/>
    <n v="158.4"/>
    <n v="150"/>
    <n v="906.4"/>
    <n v="154.69999999999999"/>
    <x v="92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71.3000000000002"/>
    <n v="182.7"/>
    <n v="155.69999999999999"/>
    <n v="150.6"/>
    <n v="155"/>
    <n v="306.29999999999995"/>
    <n v="155.69999999999999"/>
    <n v="146.80000000000001"/>
    <n v="152"/>
    <n v="159.5"/>
    <n v="146.4"/>
    <n v="152.4"/>
    <n v="162.5"/>
    <n v="156.19999999999999"/>
    <n v="154.30000000000001"/>
    <n v="929"/>
    <n v="157.5"/>
    <x v="93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915.8"/>
    <n v="188.7"/>
    <n v="150.5"/>
    <n v="136.1"/>
    <n v="148.30000000000001"/>
    <n v="286.60000000000002"/>
    <n v="156.5"/>
    <n v="137.1"/>
    <n v="145.1"/>
    <n v="151"/>
    <n v="135.4"/>
    <n v="142"/>
    <n v="155.69999999999999"/>
    <n v="158.1"/>
    <n v="146.19999999999999"/>
    <n v="887.30000000000007"/>
    <n v="155.19999999999999"/>
    <x v="93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87.2000000000003"/>
    <n v="184.3"/>
    <n v="153.69999999999999"/>
    <n v="144.6"/>
    <n v="152.30000000000001"/>
    <n v="298.29999999999995"/>
    <n v="156.5"/>
    <n v="143.1"/>
    <n v="148.69999999999999"/>
    <n v="156.30000000000001"/>
    <n v="140.6"/>
    <n v="146.5"/>
    <n v="158.5"/>
    <n v="157"/>
    <n v="150.4"/>
    <n v="907.6"/>
    <n v="156.4"/>
    <x v="93"/>
  </r>
  <r>
    <x v="0"/>
    <x v="7"/>
    <x v="11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919.0000000000002"/>
    <n v="183.4"/>
    <n v="156.30000000000001"/>
    <n v="151"/>
    <n v="155.5"/>
    <n v="307.3"/>
    <n v="155.69999999999999"/>
    <n v="147.5"/>
    <n v="152.80000000000001"/>
    <n v="160.4"/>
    <n v="146.1"/>
    <n v="153.6"/>
    <n v="161.6"/>
    <n v="156.19999999999999"/>
    <n v="154.5"/>
    <n v="930.7"/>
    <n v="159.80000000000001"/>
    <x v="94"/>
  </r>
  <r>
    <x v="1"/>
    <x v="7"/>
    <x v="11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953.7"/>
    <n v="188.8"/>
    <n v="151.1"/>
    <n v="136.4"/>
    <n v="148.80000000000001"/>
    <n v="287.5"/>
    <n v="158"/>
    <n v="137.30000000000001"/>
    <n v="145.1"/>
    <n v="152"/>
    <n v="135.19999999999999"/>
    <n v="144.4"/>
    <n v="156.4"/>
    <n v="157.9"/>
    <n v="146.6"/>
    <n v="891"/>
    <n v="156.69999999999999"/>
    <x v="94"/>
  </r>
  <r>
    <x v="2"/>
    <x v="7"/>
    <x v="11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930.9"/>
    <n v="184.8"/>
    <n v="154.30000000000001"/>
    <n v="144.9"/>
    <n v="152.80000000000001"/>
    <n v="299.20000000000005"/>
    <n v="158"/>
    <n v="143.6"/>
    <n v="149.19999999999999"/>
    <n v="157.19999999999999"/>
    <n v="140.4"/>
    <n v="148.4"/>
    <n v="158.6"/>
    <n v="156.9"/>
    <n v="150.69999999999999"/>
    <n v="910.69999999999993"/>
    <n v="158.4"/>
    <x v="94"/>
  </r>
  <r>
    <x v="0"/>
    <x v="7"/>
    <x v="12"/>
    <n v="144.6"/>
    <n v="188.5"/>
    <n v="173.4"/>
    <n v="154"/>
    <n v="150"/>
    <n v="145.9"/>
    <n v="225.2"/>
    <n v="159.5"/>
    <n v="114.4"/>
    <n v="163.5"/>
    <n v="153.4"/>
    <n v="163.6"/>
    <n v="164.5"/>
    <n v="1936"/>
    <n v="183.6"/>
    <n v="157"/>
    <n v="151.6"/>
    <n v="156.30000000000001"/>
    <n v="308.60000000000002"/>
    <n v="155.69999999999999"/>
    <n v="148.69999999999999"/>
    <n v="153.4"/>
    <n v="161.6"/>
    <n v="146.4"/>
    <n v="153.9"/>
    <n v="162.9"/>
    <n v="156.6"/>
    <n v="155.19999999999999"/>
    <n v="934.8"/>
    <n v="160.69999999999999"/>
    <x v="95"/>
  </r>
  <r>
    <x v="1"/>
    <x v="7"/>
    <x v="12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58.4"/>
    <n v="190.2"/>
    <n v="151.9"/>
    <n v="136.69999999999999"/>
    <n v="149.6"/>
    <n v="288.60000000000002"/>
    <n v="158.4"/>
    <n v="137.9"/>
    <n v="145.5"/>
    <n v="152.9"/>
    <n v="135.5"/>
    <n v="144.30000000000001"/>
    <n v="156.9"/>
    <n v="157.9"/>
    <n v="146.9"/>
    <n v="893"/>
    <n v="156.9"/>
    <x v="95"/>
  </r>
  <r>
    <x v="2"/>
    <x v="7"/>
    <x v="12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943.7"/>
    <n v="185.4"/>
    <n v="155"/>
    <n v="145.4"/>
    <n v="153.6"/>
    <n v="300.39999999999998"/>
    <n v="158.4"/>
    <n v="144.6"/>
    <n v="149.69999999999999"/>
    <n v="158.30000000000001"/>
    <n v="140.69999999999999"/>
    <n v="148.5"/>
    <n v="159.4"/>
    <n v="157.1"/>
    <n v="151.19999999999999"/>
    <n v="913.7"/>
    <n v="158.9"/>
    <x v="95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906.0999999999997"/>
    <n v="184.6"/>
    <n v="157.5"/>
    <n v="152.4"/>
    <n v="156.80000000000001"/>
    <n v="309.89999999999998"/>
    <n v="161.4"/>
    <n v="150.9"/>
    <n v="153.9"/>
    <n v="162.5"/>
    <n v="147.5"/>
    <n v="155.1"/>
    <n v="163.5"/>
    <n v="156.19999999999999"/>
    <n v="155.9"/>
    <n v="938.7"/>
    <n v="158.5"/>
    <x v="96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33.6000000000001"/>
    <n v="191.8"/>
    <n v="152.5"/>
    <n v="137.30000000000001"/>
    <n v="150.19999999999999"/>
    <n v="289.8"/>
    <n v="157.69999999999999"/>
    <n v="142.9"/>
    <n v="145.69999999999999"/>
    <n v="154.1"/>
    <n v="136.9"/>
    <n v="145.4"/>
    <n v="156.1"/>
    <n v="157.69999999999999"/>
    <n v="147.6"/>
    <n v="895.89999999999986"/>
    <n v="156"/>
    <x v="96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915.4999999999998"/>
    <n v="186.5"/>
    <n v="155.5"/>
    <n v="146.1"/>
    <n v="154.19999999999999"/>
    <n v="301.60000000000002"/>
    <n v="157.69999999999999"/>
    <n v="147.9"/>
    <n v="150"/>
    <n v="159.30000000000001"/>
    <n v="141.9"/>
    <n v="149.6"/>
    <n v="159.19999999999999"/>
    <n v="156.80000000000001"/>
    <n v="151.9"/>
    <n v="916.8"/>
    <n v="157.30000000000001"/>
    <x v="96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70.6"/>
    <n v="186.5"/>
    <n v="159.1"/>
    <n v="153.9"/>
    <n v="158.4"/>
    <n v="313"/>
    <n v="161.4"/>
    <n v="154.4"/>
    <n v="154.80000000000001"/>
    <n v="164.3"/>
    <n v="150.19999999999999"/>
    <n v="157"/>
    <n v="163.6"/>
    <n v="155.19999999999999"/>
    <n v="157.19999999999999"/>
    <n v="945.09999999999991"/>
    <n v="156.69999999999999"/>
    <x v="97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05.2"/>
    <n v="193.3"/>
    <n v="154.19999999999999"/>
    <n v="138.19999999999999"/>
    <n v="151.80000000000001"/>
    <n v="292.39999999999998"/>
    <n v="159.80000000000001"/>
    <n v="149.1"/>
    <n v="146.5"/>
    <n v="156.30000000000001"/>
    <n v="140.5"/>
    <n v="147.30000000000001"/>
    <n v="156.6"/>
    <n v="156.69999999999999"/>
    <n v="149.30000000000001"/>
    <n v="903.90000000000009"/>
    <n v="156.5"/>
    <x v="97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2.4"/>
    <n v="188.3"/>
    <n v="157.19999999999999"/>
    <n v="147.4"/>
    <n v="155.80000000000001"/>
    <n v="304.60000000000002"/>
    <n v="159.80000000000001"/>
    <n v="152.4"/>
    <n v="150.9"/>
    <n v="161.30000000000001"/>
    <n v="145.1"/>
    <n v="151.5"/>
    <n v="159.5"/>
    <n v="155.80000000000001"/>
    <n v="153.4"/>
    <n v="924.10000000000014"/>
    <n v="156.6"/>
    <x v="97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71.2"/>
    <n v="186.1"/>
    <n v="159.6"/>
    <n v="154.4"/>
    <n v="158.9"/>
    <n v="314"/>
    <n v="161.4"/>
    <n v="156"/>
    <n v="154.80000000000001"/>
    <n v="164.6"/>
    <n v="151.30000000000001"/>
    <n v="157.80000000000001"/>
    <n v="163.80000000000001"/>
    <n v="153.1"/>
    <n v="157.30000000000001"/>
    <n v="945.4"/>
    <n v="156.69999999999999"/>
    <x v="98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04.0999999999997"/>
    <n v="193.5"/>
    <n v="155.1"/>
    <n v="138.69999999999999"/>
    <n v="152.6"/>
    <n v="293.79999999999995"/>
    <n v="159.9"/>
    <n v="154.80000000000001"/>
    <n v="147.19999999999999"/>
    <n v="156.9"/>
    <n v="141.69999999999999"/>
    <n v="148.6"/>
    <n v="157.6"/>
    <n v="154.9"/>
    <n v="150"/>
    <n v="906.9"/>
    <n v="156.9"/>
    <x v="98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2.6999999999998"/>
    <n v="188.1"/>
    <n v="157.80000000000001"/>
    <n v="147.9"/>
    <n v="156.4"/>
    <n v="305.70000000000005"/>
    <n v="159.9"/>
    <n v="155.5"/>
    <n v="151.19999999999999"/>
    <n v="161.69999999999999"/>
    <n v="146.19999999999999"/>
    <n v="152.6"/>
    <n v="160.19999999999999"/>
    <n v="153.80000000000001"/>
    <n v="153.80000000000001"/>
    <n v="925.69999999999982"/>
    <n v="156.80000000000001"/>
    <x v="98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93.9"/>
    <n v="186.8"/>
    <n v="160.69999999999999"/>
    <n v="155.1"/>
    <n v="159.9"/>
    <n v="315.79999999999995"/>
    <n v="161.4"/>
    <n v="156"/>
    <n v="155.5"/>
    <n v="165.3"/>
    <n v="151.69999999999999"/>
    <n v="158.6"/>
    <n v="164.1"/>
    <n v="154.6"/>
    <n v="158"/>
    <n v="949.80000000000007"/>
    <n v="157.6"/>
    <x v="99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27.6"/>
    <n v="194.4"/>
    <n v="155.9"/>
    <n v="139.30000000000001"/>
    <n v="153.4"/>
    <n v="295.20000000000005"/>
    <n v="161.4"/>
    <n v="154.9"/>
    <n v="147.6"/>
    <n v="157.5"/>
    <n v="142.1"/>
    <n v="149.1"/>
    <n v="157.6"/>
    <n v="156.6"/>
    <n v="150.5"/>
    <n v="910.50000000000011"/>
    <n v="158"/>
    <x v="99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906.1"/>
    <n v="188.8"/>
    <n v="158.80000000000001"/>
    <n v="148.5"/>
    <n v="157.30000000000001"/>
    <n v="307.3"/>
    <n v="161.4"/>
    <n v="155.6"/>
    <n v="151.80000000000001"/>
    <n v="162.30000000000001"/>
    <n v="146.6"/>
    <n v="153.19999999999999"/>
    <n v="160.30000000000001"/>
    <n v="155.4"/>
    <n v="154.4"/>
    <n v="929.6"/>
    <n v="157.80000000000001"/>
    <x v="99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936.6"/>
    <n v="189.6"/>
    <n v="165.3"/>
    <n v="160.6"/>
    <n v="164.5"/>
    <n v="325.89999999999998"/>
    <n v="161.4"/>
    <n v="161.69999999999999"/>
    <n v="158.80000000000001"/>
    <n v="169.1"/>
    <n v="153.19999999999999"/>
    <n v="160"/>
    <n v="167.6"/>
    <n v="159.30000000000001"/>
    <n v="161.1"/>
    <n v="968"/>
    <n v="161.1"/>
    <x v="100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60.5000000000002"/>
    <n v="198.2"/>
    <n v="156.5"/>
    <n v="140.19999999999999"/>
    <n v="154.1"/>
    <n v="296.7"/>
    <n v="161.6"/>
    <n v="155.5"/>
    <n v="150.1"/>
    <n v="160.4"/>
    <n v="145"/>
    <n v="152.6"/>
    <n v="156.6"/>
    <n v="157.5"/>
    <n v="152.30000000000001"/>
    <n v="922.2"/>
    <n v="159.5"/>
    <x v="100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45.0000000000002"/>
    <n v="191.9"/>
    <n v="161.80000000000001"/>
    <n v="152.1"/>
    <n v="160.4"/>
    <n v="313.89999999999998"/>
    <n v="161.6"/>
    <n v="159.4"/>
    <n v="154.69999999999999"/>
    <n v="165.8"/>
    <n v="148.9"/>
    <n v="155.80000000000001"/>
    <n v="161.19999999999999"/>
    <n v="158.6"/>
    <n v="156.80000000000001"/>
    <n v="945.00000000000011"/>
    <n v="160.4"/>
    <x v="100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962.1"/>
    <n v="189.1"/>
    <n v="165.3"/>
    <n v="159.9"/>
    <n v="164.6"/>
    <n v="325.20000000000005"/>
    <n v="161.4"/>
    <n v="162.1"/>
    <n v="159.19999999999999"/>
    <n v="169.7"/>
    <n v="154.19999999999999"/>
    <n v="160.4"/>
    <n v="166.8"/>
    <n v="159.4"/>
    <n v="161.5"/>
    <n v="969.69999999999993"/>
    <n v="162.1"/>
    <x v="101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88"/>
    <n v="195.6"/>
    <n v="157.30000000000001"/>
    <n v="140.5"/>
    <n v="154.80000000000001"/>
    <n v="297.8"/>
    <n v="160.5"/>
    <n v="156.1"/>
    <n v="149.80000000000001"/>
    <n v="160.80000000000001"/>
    <n v="147.5"/>
    <n v="150.69999999999999"/>
    <n v="158.1"/>
    <n v="158"/>
    <n v="153.4"/>
    <n v="924.9"/>
    <n v="160.4"/>
    <x v="101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71.3"/>
    <n v="190.8"/>
    <n v="162.19999999999999"/>
    <n v="151.80000000000001"/>
    <n v="160.69999999999999"/>
    <n v="314"/>
    <n v="160.5"/>
    <n v="159.80000000000001"/>
    <n v="154.80000000000001"/>
    <n v="166.3"/>
    <n v="150.69999999999999"/>
    <n v="154.9"/>
    <n v="161.69999999999999"/>
    <n v="158.80000000000001"/>
    <n v="157.6"/>
    <n v="947.2"/>
    <n v="161.30000000000001"/>
    <x v="101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970.7"/>
    <n v="189.7"/>
    <n v="166"/>
    <n v="161.1"/>
    <n v="165.3"/>
    <n v="327.10000000000002"/>
    <n v="161.4"/>
    <n v="162.5"/>
    <n v="160.30000000000001"/>
    <n v="170.4"/>
    <n v="157.1"/>
    <n v="160.69999999999999"/>
    <n v="167.2"/>
    <n v="160.4"/>
    <n v="162.80000000000001"/>
    <n v="976.1"/>
    <n v="163.19999999999999"/>
    <x v="102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2003.9000000000003"/>
    <n v="195.5"/>
    <n v="157.9"/>
    <n v="141.9"/>
    <n v="155.5"/>
    <n v="299.8"/>
    <n v="161.5"/>
    <n v="157.69999999999999"/>
    <n v="150.69999999999999"/>
    <n v="161.5"/>
    <n v="149.5"/>
    <n v="151.19999999999999"/>
    <n v="160.30000000000001"/>
    <n v="159.6"/>
    <n v="155"/>
    <n v="932.80000000000007"/>
    <n v="161.80000000000001"/>
    <x v="102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83.0000000000002"/>
    <n v="191.2"/>
    <n v="162.80000000000001"/>
    <n v="153.1"/>
    <n v="161.4"/>
    <n v="315.89999999999998"/>
    <n v="161.5"/>
    <n v="160.69999999999999"/>
    <n v="155.80000000000001"/>
    <n v="167"/>
    <n v="153.1"/>
    <n v="155.30000000000001"/>
    <n v="163.19999999999999"/>
    <n v="160.1"/>
    <n v="159"/>
    <n v="954.50000000000011"/>
    <n v="162.5"/>
    <x v="102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69"/>
    <n v="190.2"/>
    <n v="167"/>
    <n v="162.6"/>
    <n v="166.3"/>
    <n v="329.6"/>
    <n v="161.4"/>
    <n v="163.1"/>
    <n v="160.9"/>
    <n v="171.1"/>
    <n v="157.69999999999999"/>
    <n v="161.1"/>
    <n v="167.5"/>
    <n v="160.30000000000001"/>
    <n v="163.30000000000001"/>
    <n v="978.59999999999991"/>
    <n v="163.6"/>
    <x v="103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90.6"/>
    <n v="196.5"/>
    <n v="159.80000000000001"/>
    <n v="143.6"/>
    <n v="157.30000000000001"/>
    <n v="303.39999999999998"/>
    <n v="162.1"/>
    <n v="160.69999999999999"/>
    <n v="153.19999999999999"/>
    <n v="162.80000000000001"/>
    <n v="150.4"/>
    <n v="153.69999999999999"/>
    <n v="160.4"/>
    <n v="159.6"/>
    <n v="156"/>
    <n v="940.09999999999991"/>
    <n v="162.30000000000001"/>
    <x v="103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78.0000000000002"/>
    <n v="192.1"/>
    <n v="164.5"/>
    <n v="155.30000000000001"/>
    <n v="163.19999999999999"/>
    <n v="319.8"/>
    <n v="162.1"/>
    <n v="162.6"/>
    <n v="157.5"/>
    <n v="168.4"/>
    <n v="154"/>
    <n v="157.6"/>
    <n v="163.80000000000001"/>
    <n v="160"/>
    <n v="160"/>
    <n v="961.3"/>
    <n v="163.19999999999999"/>
    <x v="103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71.5"/>
    <n v="190.5"/>
    <n v="167.7"/>
    <n v="163.6"/>
    <n v="167.1"/>
    <n v="331.29999999999995"/>
    <n v="161.4"/>
    <n v="163.69999999999999"/>
    <n v="161.30000000000001"/>
    <n v="171.9"/>
    <n v="157.80000000000001"/>
    <n v="162.69999999999999"/>
    <n v="168.5"/>
    <n v="160.19999999999999"/>
    <n v="163.80000000000001"/>
    <n v="982.40000000000009"/>
    <n v="164"/>
    <x v="104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90.6000000000001"/>
    <n v="196.5"/>
    <n v="159.80000000000001"/>
    <n v="143.6"/>
    <n v="157.4"/>
    <n v="303.39999999999998"/>
    <n v="162.1"/>
    <n v="160.80000000000001"/>
    <n v="153.30000000000001"/>
    <n v="162.80000000000001"/>
    <n v="150.5"/>
    <n v="153.9"/>
    <n v="160.30000000000001"/>
    <n v="159.6"/>
    <n v="156"/>
    <n v="940.4"/>
    <n v="162.30000000000001"/>
    <x v="104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78"/>
    <n v="192.1"/>
    <n v="164.6"/>
    <n v="155.30000000000001"/>
    <n v="163.30000000000001"/>
    <n v="319.89999999999998"/>
    <n v="162.1"/>
    <n v="162.6"/>
    <n v="157.5"/>
    <n v="168.4"/>
    <n v="154"/>
    <n v="157.69999999999999"/>
    <n v="163.69999999999999"/>
    <n v="160"/>
    <n v="160"/>
    <n v="961.3"/>
    <n v="163.19999999999999"/>
    <x v="104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98.6999999999998"/>
    <n v="191.2"/>
    <n v="168.9"/>
    <n v="164.8"/>
    <n v="168.3"/>
    <n v="333.70000000000005"/>
    <n v="161.4"/>
    <n v="165.5"/>
    <n v="162"/>
    <n v="172.5"/>
    <n v="159.5"/>
    <n v="163.19999999999999"/>
    <n v="169"/>
    <n v="161.1"/>
    <n v="164.7"/>
    <n v="987.30000000000007"/>
    <n v="166.3"/>
    <x v="105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2026.9000000000003"/>
    <n v="197"/>
    <n v="160.80000000000001"/>
    <n v="144.4"/>
    <n v="158.30000000000001"/>
    <n v="305.20000000000005"/>
    <n v="163.6"/>
    <n v="162.19999999999999"/>
    <n v="154.30000000000001"/>
    <n v="163.5"/>
    <n v="152.19999999999999"/>
    <n v="155.1"/>
    <n v="160.30000000000001"/>
    <n v="160.30000000000001"/>
    <n v="157"/>
    <n v="945.7"/>
    <n v="164.6"/>
    <x v="105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2007.8000000000002"/>
    <n v="192.7"/>
    <n v="165.7"/>
    <n v="156.30000000000001"/>
    <n v="164.3"/>
    <n v="322"/>
    <n v="163.6"/>
    <n v="164.2"/>
    <n v="158.4"/>
    <n v="169.1"/>
    <n v="155.69999999999999"/>
    <n v="158.6"/>
    <n v="163.9"/>
    <n v="160.80000000000001"/>
    <n v="161"/>
    <n v="966.5"/>
    <n v="165.5"/>
    <x v="105"/>
  </r>
  <r>
    <x v="0"/>
    <x v="8"/>
    <x v="11"/>
    <n v="146.9"/>
    <n v="199.8"/>
    <n v="171.5"/>
    <n v="159.1"/>
    <n v="198.4"/>
    <n v="153.19999999999999"/>
    <n v="183.9"/>
    <n v="165.4"/>
    <n v="122.1"/>
    <n v="170.8"/>
    <n v="169.1"/>
    <n v="174.3"/>
    <n v="167.5"/>
    <n v="2014.5"/>
    <n v="191.4"/>
    <n v="170.4"/>
    <n v="166"/>
    <n v="169.8"/>
    <n v="336.4"/>
    <n v="161.4"/>
    <n v="165.3"/>
    <n v="162.9"/>
    <n v="173.4"/>
    <n v="158.9"/>
    <n v="163.80000000000001"/>
    <n v="169.3"/>
    <n v="162.4"/>
    <n v="165.2"/>
    <n v="990.69999999999993"/>
    <n v="167.6"/>
    <x v="106"/>
  </r>
  <r>
    <x v="1"/>
    <x v="8"/>
    <x v="11"/>
    <n v="151"/>
    <n v="204.9"/>
    <n v="175.4"/>
    <n v="159.6"/>
    <n v="175.8"/>
    <n v="160.30000000000001"/>
    <n v="229.1"/>
    <n v="165.1"/>
    <n v="123.1"/>
    <n v="167.2"/>
    <n v="156.1"/>
    <n v="176.8"/>
    <n v="173.5"/>
    <n v="2044.3999999999996"/>
    <n v="197"/>
    <n v="162.30000000000001"/>
    <n v="145.30000000000001"/>
    <n v="159.69999999999999"/>
    <n v="307.60000000000002"/>
    <n v="164.2"/>
    <n v="161.6"/>
    <n v="155.19999999999999"/>
    <n v="164.2"/>
    <n v="151.19999999999999"/>
    <n v="156.69999999999999"/>
    <n v="160.80000000000001"/>
    <n v="161.80000000000001"/>
    <n v="157.30000000000001"/>
    <n v="949.89999999999986"/>
    <n v="165.6"/>
    <x v="106"/>
  </r>
  <r>
    <x v="2"/>
    <x v="8"/>
    <x v="11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2024.3999999999999"/>
    <n v="192.9"/>
    <n v="167.2"/>
    <n v="157.4"/>
    <n v="165.8"/>
    <n v="324.60000000000002"/>
    <n v="164.2"/>
    <n v="163.9"/>
    <n v="159.30000000000001"/>
    <n v="169.9"/>
    <n v="154.80000000000001"/>
    <n v="159.80000000000001"/>
    <n v="164.3"/>
    <n v="162.19999999999999"/>
    <n v="161.4"/>
    <n v="970.30000000000018"/>
    <n v="166.7"/>
    <x v="106"/>
  </r>
  <r>
    <x v="0"/>
    <x v="8"/>
    <x v="12"/>
    <n v="147.4"/>
    <n v="197"/>
    <n v="176.5"/>
    <n v="159.80000000000001"/>
    <n v="195.8"/>
    <n v="152"/>
    <n v="172.3"/>
    <n v="164.5"/>
    <n v="120.6"/>
    <n v="171.7"/>
    <n v="169.7"/>
    <n v="175.1"/>
    <n v="165.8"/>
    <n v="2002.3999999999999"/>
    <n v="190.8"/>
    <n v="171.8"/>
    <n v="167.3"/>
    <n v="171.2"/>
    <n v="339.1"/>
    <n v="161.4"/>
    <n v="165.6"/>
    <n v="163.9"/>
    <n v="174"/>
    <n v="160.1"/>
    <n v="164.5"/>
    <n v="169.7"/>
    <n v="162.80000000000001"/>
    <n v="166"/>
    <n v="995"/>
    <n v="167"/>
    <x v="107"/>
  </r>
  <r>
    <x v="1"/>
    <x v="8"/>
    <x v="12"/>
    <n v="151.6"/>
    <n v="202.2"/>
    <n v="180"/>
    <n v="160"/>
    <n v="173.5"/>
    <n v="158.30000000000001"/>
    <n v="219.5"/>
    <n v="164.2"/>
    <n v="121.9"/>
    <n v="168.2"/>
    <n v="156.5"/>
    <n v="178.2"/>
    <n v="172.2"/>
    <n v="2034.1000000000001"/>
    <n v="196.8"/>
    <n v="163.30000000000001"/>
    <n v="146.69999999999999"/>
    <n v="160.69999999999999"/>
    <n v="310"/>
    <n v="163.4"/>
    <n v="161.69999999999999"/>
    <n v="156"/>
    <n v="165.1"/>
    <n v="151.80000000000001"/>
    <n v="157.6"/>
    <n v="160.6"/>
    <n v="162.4"/>
    <n v="157.80000000000001"/>
    <n v="953.5"/>
    <n v="165.2"/>
    <x v="107"/>
  </r>
  <r>
    <x v="2"/>
    <x v="8"/>
    <x v="12"/>
    <n v="148.69999999999999"/>
    <n v="198.8"/>
    <n v="177.9"/>
    <n v="159.9"/>
    <n v="187.6"/>
    <n v="154.9"/>
    <n v="188.3"/>
    <n v="164.4"/>
    <n v="121"/>
    <n v="170.5"/>
    <n v="164.2"/>
    <n v="176.5"/>
    <n v="168.2"/>
    <n v="2012.7"/>
    <n v="192.4"/>
    <n v="168.5"/>
    <n v="158.69999999999999"/>
    <n v="167"/>
    <n v="327.2"/>
    <n v="163.4"/>
    <n v="164.1"/>
    <n v="160.19999999999999"/>
    <n v="170.6"/>
    <n v="155.69999999999999"/>
    <n v="160.6"/>
    <n v="164.4"/>
    <n v="162.6"/>
    <n v="162"/>
    <n v="974.09999999999991"/>
    <n v="166.2"/>
    <x v="107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88.8999999999999"/>
    <n v="190.7"/>
    <n v="173.2"/>
    <n v="169.3"/>
    <n v="172.7"/>
    <n v="342.5"/>
    <n v="168"/>
    <n v="165.8"/>
    <n v="164.9"/>
    <n v="174.7"/>
    <n v="160.80000000000001"/>
    <n v="164.9"/>
    <n v="169.9"/>
    <n v="163.19999999999999"/>
    <n v="166.6"/>
    <n v="998.40000000000009"/>
    <n v="166.4"/>
    <x v="108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2016.3999999999996"/>
    <n v="196.4"/>
    <n v="164.7"/>
    <n v="148.5"/>
    <n v="162.19999999999999"/>
    <n v="313.2"/>
    <n v="164.5"/>
    <n v="161.6"/>
    <n v="156.80000000000001"/>
    <n v="166.1"/>
    <n v="152.69999999999999"/>
    <n v="158.4"/>
    <n v="161"/>
    <n v="162.80000000000001"/>
    <n v="158.6"/>
    <n v="957.8"/>
    <n v="165"/>
    <x v="108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97.8"/>
    <n v="192.2"/>
    <n v="169.9"/>
    <n v="160.69999999999999"/>
    <n v="168.5"/>
    <n v="330.6"/>
    <n v="164.5"/>
    <n v="164.2"/>
    <n v="161.1"/>
    <n v="171.4"/>
    <n v="156.5"/>
    <n v="161.19999999999999"/>
    <n v="164.7"/>
    <n v="163"/>
    <n v="162.69999999999999"/>
    <n v="977.90000000000009"/>
    <n v="165.7"/>
    <x v="108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86.5"/>
    <n v="191.5"/>
    <n v="174.1"/>
    <n v="171"/>
    <n v="173.7"/>
    <n v="345.1"/>
    <n v="168"/>
    <n v="167.4"/>
    <n v="165.7"/>
    <n v="175.3"/>
    <n v="161.19999999999999"/>
    <n v="165.5"/>
    <n v="170.3"/>
    <n v="164.5"/>
    <n v="167.3"/>
    <n v="1002.5"/>
    <n v="166.7"/>
    <x v="109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2013.3"/>
    <n v="196.5"/>
    <n v="165.7"/>
    <n v="150.4"/>
    <n v="163.4"/>
    <n v="316.10000000000002"/>
    <n v="165.5"/>
    <n v="163"/>
    <n v="157.4"/>
    <n v="167.2"/>
    <n v="153.1"/>
    <n v="159.5"/>
    <n v="162"/>
    <n v="164.2"/>
    <n v="159.4"/>
    <n v="963.40000000000009"/>
    <n v="165.5"/>
    <x v="109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95.0000000000002"/>
    <n v="192.8"/>
    <n v="170.8"/>
    <n v="162.4"/>
    <n v="169.6"/>
    <n v="333.20000000000005"/>
    <n v="165.5"/>
    <n v="165.7"/>
    <n v="161.80000000000001"/>
    <n v="172.2"/>
    <n v="156.9"/>
    <n v="162.1"/>
    <n v="165.4"/>
    <n v="164.4"/>
    <n v="163.5"/>
    <n v="982.8"/>
    <n v="166.1"/>
    <x v="109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2012.5000000000002"/>
    <n v="192.3"/>
    <n v="175.4"/>
    <n v="173.2"/>
    <n v="175.1"/>
    <n v="348.6"/>
    <n v="168"/>
    <n v="168.9"/>
    <n v="166.5"/>
    <n v="176"/>
    <n v="162"/>
    <n v="166.6"/>
    <n v="170.6"/>
    <n v="167.4"/>
    <n v="168.3"/>
    <n v="1009.1"/>
    <n v="168.7"/>
    <x v="110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2024.8000000000002"/>
    <n v="197.5"/>
    <n v="167.1"/>
    <n v="152.6"/>
    <n v="164.9"/>
    <n v="319.7"/>
    <n v="165.3"/>
    <n v="164.5"/>
    <n v="158.6"/>
    <n v="168.2"/>
    <n v="154.19999999999999"/>
    <n v="160.80000000000001"/>
    <n v="162.69999999999999"/>
    <n v="166.8"/>
    <n v="160.6"/>
    <n v="971.3"/>
    <n v="166.5"/>
    <x v="110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2015.8000000000002"/>
    <n v="193.7"/>
    <n v="172.1"/>
    <n v="164.6"/>
    <n v="171.1"/>
    <n v="336.7"/>
    <n v="165.3"/>
    <n v="167.2"/>
    <n v="162.80000000000001"/>
    <n v="173"/>
    <n v="157.9"/>
    <n v="163.30000000000001"/>
    <n v="166"/>
    <n v="167.2"/>
    <n v="164.6"/>
    <n v="990.2"/>
    <n v="167.7"/>
    <x v="110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2038"/>
    <n v="192.8"/>
    <n v="177.5"/>
    <n v="175.1"/>
    <n v="177.1"/>
    <n v="352.6"/>
    <n v="168"/>
    <n v="173.3"/>
    <n v="167.7"/>
    <n v="177"/>
    <n v="166.2"/>
    <n v="167.2"/>
    <n v="170.9"/>
    <n v="169"/>
    <n v="170.2"/>
    <n v="1017.9999999999999"/>
    <n v="170.8"/>
    <x v="111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2055.9"/>
    <n v="197.1"/>
    <n v="168.4"/>
    <n v="154.5"/>
    <n v="166.3"/>
    <n v="322.89999999999998"/>
    <n v="167"/>
    <n v="170.5"/>
    <n v="159.80000000000001"/>
    <n v="169"/>
    <n v="159.30000000000001"/>
    <n v="162.19999999999999"/>
    <n v="164"/>
    <n v="168.4"/>
    <n v="163.1"/>
    <n v="982.69999999999993"/>
    <n v="169.2"/>
    <x v="111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2043.5000000000002"/>
    <n v="193.9"/>
    <n v="173.9"/>
    <n v="166.5"/>
    <n v="172.8"/>
    <n v="340.4"/>
    <n v="167"/>
    <n v="172.2"/>
    <n v="164"/>
    <n v="174"/>
    <n v="162.6"/>
    <n v="164.4"/>
    <n v="166.9"/>
    <n v="168.8"/>
    <n v="166.8"/>
    <n v="1000.7"/>
    <n v="170.1"/>
    <x v="111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2056"/>
    <n v="192.9"/>
    <n v="179.3"/>
    <n v="177.2"/>
    <n v="179"/>
    <n v="356.5"/>
    <n v="168"/>
    <n v="175.3"/>
    <n v="168.9"/>
    <n v="177.7"/>
    <n v="167.1"/>
    <n v="167.6"/>
    <n v="171.8"/>
    <n v="168.5"/>
    <n v="170.9"/>
    <n v="1021.6000000000001"/>
    <n v="172.5"/>
    <x v="112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2084.7000000000003"/>
    <n v="197.5"/>
    <n v="170"/>
    <n v="155.9"/>
    <n v="167.8"/>
    <n v="325.89999999999998"/>
    <n v="167.5"/>
    <n v="173.5"/>
    <n v="161.1"/>
    <n v="170.1"/>
    <n v="159.4"/>
    <n v="163.19999999999999"/>
    <n v="165.2"/>
    <n v="168.2"/>
    <n v="163.80000000000001"/>
    <n v="987.2"/>
    <n v="170.8"/>
    <x v="112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2065.6000000000004"/>
    <n v="194.1"/>
    <n v="175.6"/>
    <n v="168.4"/>
    <n v="174.6"/>
    <n v="344"/>
    <n v="167.5"/>
    <n v="174.6"/>
    <n v="165.2"/>
    <n v="174.8"/>
    <n v="163"/>
    <n v="165.1"/>
    <n v="167.9"/>
    <n v="168.4"/>
    <n v="167.5"/>
    <n v="1004.4"/>
    <n v="171.7"/>
    <x v="112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2075.9"/>
    <n v="192.9"/>
    <n v="180.7"/>
    <n v="178.7"/>
    <n v="180.4"/>
    <n v="359.4"/>
    <n v="168"/>
    <n v="176.7"/>
    <n v="170.3"/>
    <n v="178.2"/>
    <n v="165.5"/>
    <n v="168"/>
    <n v="172.6"/>
    <n v="169.5"/>
    <n v="171"/>
    <n v="1024.0999999999999"/>
    <n v="173.6"/>
    <x v="113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2108.1999999999998"/>
    <n v="198.3"/>
    <n v="171.6"/>
    <n v="157.4"/>
    <n v="169.4"/>
    <n v="329"/>
    <n v="166.8"/>
    <n v="174.9"/>
    <n v="162.1"/>
    <n v="170.9"/>
    <n v="157.19999999999999"/>
    <n v="164.1"/>
    <n v="166.5"/>
    <n v="169.2"/>
    <n v="163.80000000000001"/>
    <n v="990"/>
    <n v="171.4"/>
    <x v="113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2087"/>
    <n v="194.3"/>
    <n v="177.1"/>
    <n v="169.9"/>
    <n v="176"/>
    <n v="347"/>
    <n v="166.8"/>
    <n v="176"/>
    <n v="166.4"/>
    <n v="175.4"/>
    <n v="161.1"/>
    <n v="165.8"/>
    <n v="169"/>
    <n v="169.4"/>
    <n v="167.5"/>
    <n v="1007.1"/>
    <n v="172.6"/>
    <x v="113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2080"/>
    <n v="193.2"/>
    <n v="182"/>
    <n v="180.3"/>
    <n v="181.7"/>
    <n v="362.3"/>
    <n v="168"/>
    <n v="179.6"/>
    <n v="171.3"/>
    <n v="178.8"/>
    <n v="166.3"/>
    <n v="168.6"/>
    <n v="174.7"/>
    <n v="169.7"/>
    <n v="171.8"/>
    <n v="1029.4000000000001"/>
    <n v="174.3"/>
    <x v="114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2112.1999999999998"/>
    <n v="198.6"/>
    <n v="172.7"/>
    <n v="158.69999999999999"/>
    <n v="170.6"/>
    <n v="331.4"/>
    <n v="167.8"/>
    <n v="179.5"/>
    <n v="163.1"/>
    <n v="171.7"/>
    <n v="157.4"/>
    <n v="164.6"/>
    <n v="169.1"/>
    <n v="169.8"/>
    <n v="164.7"/>
    <n v="995.7"/>
    <n v="172.3"/>
    <x v="114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2091.3000000000002"/>
    <n v="194.6"/>
    <n v="178.3"/>
    <n v="171.3"/>
    <n v="177.3"/>
    <n v="349.6"/>
    <n v="167.8"/>
    <n v="179.6"/>
    <n v="167.4"/>
    <n v="176.1"/>
    <n v="161.6"/>
    <n v="166.3"/>
    <n v="171.4"/>
    <n v="169.7"/>
    <n v="168.4"/>
    <n v="1012.5"/>
    <n v="173.4"/>
    <x v="114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2081.8999999999996"/>
    <n v="193.7"/>
    <n v="183.2"/>
    <n v="181.7"/>
    <n v="183"/>
    <n v="364.9"/>
    <n v="168"/>
    <n v="179.1"/>
    <n v="172.3"/>
    <n v="179.4"/>
    <n v="166.6"/>
    <n v="169.3"/>
    <n v="175.7"/>
    <n v="171.1"/>
    <n v="172.6"/>
    <n v="1034.4000000000001"/>
    <n v="175.3"/>
    <x v="115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2113.2999999999997"/>
    <n v="198.7"/>
    <n v="173.7"/>
    <n v="160"/>
    <n v="171.6"/>
    <n v="333.7"/>
    <n v="169"/>
    <n v="178.4"/>
    <n v="164.2"/>
    <n v="172.6"/>
    <n v="157.69999999999999"/>
    <n v="165.1"/>
    <n v="169.9"/>
    <n v="171.4"/>
    <n v="165.4"/>
    <n v="1000.8999999999999"/>
    <n v="173.1"/>
    <x v="115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2092.9"/>
    <n v="195"/>
    <n v="179.5"/>
    <n v="172.7"/>
    <n v="178.5"/>
    <n v="352.2"/>
    <n v="169"/>
    <n v="178.8"/>
    <n v="168.5"/>
    <n v="176.8"/>
    <n v="161.9"/>
    <n v="166.9"/>
    <n v="172.3"/>
    <n v="171.2"/>
    <n v="169.1"/>
    <n v="1017.6000000000001"/>
    <n v="174.3"/>
    <x v="115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2092.3000000000002"/>
    <n v="194.5"/>
    <n v="184.7"/>
    <n v="183.3"/>
    <n v="184.5"/>
    <n v="368"/>
    <n v="168"/>
    <n v="179.7"/>
    <n v="173.6"/>
    <n v="180.2"/>
    <n v="166.9"/>
    <n v="170"/>
    <n v="176.2"/>
    <n v="170.8"/>
    <n v="173.1"/>
    <n v="1037.6999999999998"/>
    <n v="176.4"/>
    <x v="116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2124.6"/>
    <n v="199.7"/>
    <n v="175"/>
    <n v="161.69999999999999"/>
    <n v="173"/>
    <n v="336.7"/>
    <n v="169.5"/>
    <n v="179.2"/>
    <n v="165"/>
    <n v="173.8"/>
    <n v="158.19999999999999"/>
    <n v="165.8"/>
    <n v="170.9"/>
    <n v="171.1"/>
    <n v="166.1"/>
    <n v="1004.8"/>
    <n v="174.1"/>
    <x v="116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2103.1"/>
    <n v="195.9"/>
    <n v="180.9"/>
    <n v="174.3"/>
    <n v="179.9"/>
    <n v="355.20000000000005"/>
    <n v="169.5"/>
    <n v="179.5"/>
    <n v="169.5"/>
    <n v="177.8"/>
    <n v="162.30000000000001"/>
    <n v="167.6"/>
    <n v="173.1"/>
    <n v="170.9"/>
    <n v="169.7"/>
    <n v="1021.2"/>
    <n v="175.3"/>
    <x v="116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2107.1"/>
    <n v="194.9"/>
    <n v="186.1"/>
    <n v="184.4"/>
    <n v="185.9"/>
    <n v="370.5"/>
    <n v="168"/>
    <n v="180.8"/>
    <n v="174.4"/>
    <n v="181.2"/>
    <n v="167.4"/>
    <n v="170.6"/>
    <n v="176.5"/>
    <n v="172"/>
    <n v="173.9"/>
    <n v="1042.0999999999999"/>
    <n v="177.9"/>
    <x v="117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139"/>
    <n v="200.1"/>
    <n v="175.5"/>
    <n v="162.6"/>
    <n v="173.6"/>
    <n v="338.1"/>
    <n v="171.2"/>
    <n v="180"/>
    <n v="166"/>
    <n v="174.7"/>
    <n v="158.80000000000001"/>
    <n v="166.3"/>
    <n v="171.2"/>
    <n v="172.3"/>
    <n v="166.8"/>
    <n v="1009.3"/>
    <n v="175.3"/>
    <x v="117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2117.7000000000003"/>
    <n v="196.3"/>
    <n v="181.9"/>
    <n v="175.3"/>
    <n v="181"/>
    <n v="357.20000000000005"/>
    <n v="171.2"/>
    <n v="180.5"/>
    <n v="170.4"/>
    <n v="178.7"/>
    <n v="162.9"/>
    <n v="168.2"/>
    <n v="173.4"/>
    <n v="172.1"/>
    <n v="170.5"/>
    <n v="1025.7"/>
    <n v="176.7"/>
    <x v="117"/>
  </r>
  <r>
    <x v="0"/>
    <x v="9"/>
    <x v="11"/>
    <n v="166.9"/>
    <n v="207.2"/>
    <n v="180.2"/>
    <n v="172.3"/>
    <n v="194"/>
    <n v="159.1"/>
    <n v="171.6"/>
    <n v="170.2"/>
    <n v="121.5"/>
    <n v="204.8"/>
    <n v="176.4"/>
    <n v="186.9"/>
    <n v="176.6"/>
    <n v="2111.1"/>
    <n v="195.5"/>
    <n v="187.2"/>
    <n v="185.2"/>
    <n v="186.9"/>
    <n v="372.4"/>
    <n v="168"/>
    <n v="181.9"/>
    <n v="175.5"/>
    <n v="182.3"/>
    <n v="167.5"/>
    <n v="170.8"/>
    <n v="176.9"/>
    <n v="173.4"/>
    <n v="174.6"/>
    <n v="1046.3999999999999"/>
    <n v="177.8"/>
    <x v="118"/>
  </r>
  <r>
    <x v="1"/>
    <x v="9"/>
    <x v="11"/>
    <n v="168.4"/>
    <n v="213.4"/>
    <n v="183.2"/>
    <n v="172.3"/>
    <n v="180"/>
    <n v="162.6"/>
    <n v="205.5"/>
    <n v="171"/>
    <n v="123.4"/>
    <n v="198.8"/>
    <n v="162.1"/>
    <n v="192.4"/>
    <n v="181.3"/>
    <n v="2133.1"/>
    <n v="200.6"/>
    <n v="176.7"/>
    <n v="163.5"/>
    <n v="174.7"/>
    <n v="340.2"/>
    <n v="171.8"/>
    <n v="180.3"/>
    <n v="166.9"/>
    <n v="175.8"/>
    <n v="158.9"/>
    <n v="166.7"/>
    <n v="171.5"/>
    <n v="173.8"/>
    <n v="167.4"/>
    <n v="1013.5999999999999"/>
    <n v="174.1"/>
    <x v="118"/>
  </r>
  <r>
    <x v="2"/>
    <x v="9"/>
    <x v="11"/>
    <n v="167.4"/>
    <n v="209.4"/>
    <n v="181.4"/>
    <n v="172.3"/>
    <n v="188.9"/>
    <n v="160.69999999999999"/>
    <n v="183.1"/>
    <n v="170.5"/>
    <n v="122.1"/>
    <n v="202.8"/>
    <n v="170.4"/>
    <n v="189.5"/>
    <n v="178.3"/>
    <n v="2118.5"/>
    <n v="196.9"/>
    <n v="183.1"/>
    <n v="176.2"/>
    <n v="182.1"/>
    <n v="359.29999999999995"/>
    <n v="171.8"/>
    <n v="181.3"/>
    <n v="171.4"/>
    <n v="179.8"/>
    <n v="163"/>
    <n v="168.5"/>
    <n v="173.7"/>
    <n v="173.6"/>
    <n v="171.1"/>
    <n v="1030"/>
    <n v="176.5"/>
    <x v="118"/>
  </r>
  <r>
    <x v="0"/>
    <x v="9"/>
    <x v="12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2102.6999999999998"/>
    <n v="195.9"/>
    <n v="188.1"/>
    <n v="185.9"/>
    <n v="187.8"/>
    <n v="374"/>
    <n v="168"/>
    <n v="182.8"/>
    <n v="176.4"/>
    <n v="183.5"/>
    <n v="167.8"/>
    <n v="171.2"/>
    <n v="177.3"/>
    <n v="175.7"/>
    <n v="175.5"/>
    <n v="1051.9000000000001"/>
    <n v="177.1"/>
    <x v="119"/>
  </r>
  <r>
    <x v="1"/>
    <x v="9"/>
    <x v="12"/>
    <n v="170.2"/>
    <n v="212.9"/>
    <n v="191.9"/>
    <n v="173.9"/>
    <n v="179.1"/>
    <n v="159.5"/>
    <n v="178.7"/>
    <n v="171.3"/>
    <n v="123.1"/>
    <n v="200.5"/>
    <n v="162.80000000000001"/>
    <n v="193.3"/>
    <n v="178.6"/>
    <n v="2117.1999999999998"/>
    <n v="201.1"/>
    <n v="177.7"/>
    <n v="164.5"/>
    <n v="175.7"/>
    <n v="342.2"/>
    <n v="170.7"/>
    <n v="180.6"/>
    <n v="167.3"/>
    <n v="177.2"/>
    <n v="159.4"/>
    <n v="167.1"/>
    <n v="171.8"/>
    <n v="176"/>
    <n v="168.2"/>
    <n v="1018.8"/>
    <n v="174.1"/>
    <x v="119"/>
  </r>
  <r>
    <x v="2"/>
    <x v="9"/>
    <x v="12"/>
    <n v="169.2"/>
    <n v="209"/>
    <n v="190.2"/>
    <n v="173.6"/>
    <n v="188.5"/>
    <n v="158"/>
    <n v="159.9"/>
    <n v="170.8"/>
    <n v="121.8"/>
    <n v="205.2"/>
    <n v="171"/>
    <n v="190.3"/>
    <n v="175.9"/>
    <n v="2107.5"/>
    <n v="197.3"/>
    <n v="184"/>
    <n v="177"/>
    <n v="183"/>
    <n v="361"/>
    <n v="170.7"/>
    <n v="182"/>
    <n v="172.1"/>
    <n v="181.1"/>
    <n v="163.4"/>
    <n v="168.9"/>
    <n v="174.1"/>
    <n v="175.8"/>
    <n v="172"/>
    <n v="1035.4000000000001"/>
    <n v="175.7"/>
    <x v="119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2108.2000000000003"/>
    <n v="196.9"/>
    <n v="189"/>
    <n v="186.3"/>
    <n v="188.6"/>
    <n v="375.3"/>
    <n v="174"/>
    <n v="183.2"/>
    <n v="177.2"/>
    <n v="184.7"/>
    <n v="168.2"/>
    <n v="171.8"/>
    <n v="177.8"/>
    <n v="178.4"/>
    <n v="176.5"/>
    <n v="1058.0999999999999"/>
    <n v="177.8"/>
    <x v="120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130.7000000000003"/>
    <n v="201.6"/>
    <n v="178.7"/>
    <n v="165.3"/>
    <n v="176.6"/>
    <n v="344"/>
    <n v="172.1"/>
    <n v="180.1"/>
    <n v="168"/>
    <n v="178.5"/>
    <n v="159.5"/>
    <n v="167.8"/>
    <n v="171.8"/>
    <n v="178.8"/>
    <n v="168.9"/>
    <n v="1024.3999999999999"/>
    <n v="174.9"/>
    <x v="120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2116"/>
    <n v="198.2"/>
    <n v="184.9"/>
    <n v="177.6"/>
    <n v="183.8"/>
    <n v="362.5"/>
    <n v="172.1"/>
    <n v="182"/>
    <n v="172.9"/>
    <n v="182.3"/>
    <n v="163.6"/>
    <n v="169.5"/>
    <n v="174.3"/>
    <n v="178.6"/>
    <n v="172.8"/>
    <n v="1041.2"/>
    <n v="176.5"/>
    <x v="120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2090.8999999999996"/>
    <n v="198.3"/>
    <n v="190"/>
    <n v="187"/>
    <n v="189.6"/>
    <n v="377"/>
    <n v="174"/>
    <n v="181.6"/>
    <n v="178.6"/>
    <n v="186.6"/>
    <n v="169"/>
    <n v="172.8"/>
    <n v="178.5"/>
    <n v="180.7"/>
    <n v="177.9"/>
    <n v="1066.2"/>
    <n v="178"/>
    <x v="121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122.5"/>
    <n v="202.7"/>
    <n v="180.3"/>
    <n v="167"/>
    <n v="178.2"/>
    <n v="347.3"/>
    <n v="173.5"/>
    <n v="182.8"/>
    <n v="169.2"/>
    <n v="180.8"/>
    <n v="159.80000000000001"/>
    <n v="168.4"/>
    <n v="172.5"/>
    <n v="181.4"/>
    <n v="170"/>
    <n v="1032.1000000000001"/>
    <n v="176.3"/>
    <x v="121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2102.1"/>
    <n v="199.5"/>
    <n v="186.2"/>
    <n v="178.7"/>
    <n v="185.1"/>
    <n v="364.9"/>
    <n v="173.5"/>
    <n v="182.1"/>
    <n v="174.2"/>
    <n v="184.4"/>
    <n v="164.2"/>
    <n v="170.3"/>
    <n v="175"/>
    <n v="181"/>
    <n v="174.1"/>
    <n v="1049.0999999999999"/>
    <n v="177.2"/>
    <x v="121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2091"/>
    <n v="198.4"/>
    <n v="190"/>
    <n v="187"/>
    <n v="189.6"/>
    <n v="377"/>
    <n v="174"/>
    <n v="181.4"/>
    <n v="178.6"/>
    <n v="186.6"/>
    <n v="169"/>
    <n v="172.8"/>
    <n v="178.5"/>
    <n v="180.7"/>
    <n v="177.9"/>
    <n v="1066.2"/>
    <n v="178"/>
    <x v="122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122.6"/>
    <n v="202.7"/>
    <n v="180.2"/>
    <n v="167"/>
    <n v="178.2"/>
    <n v="347.2"/>
    <n v="173.5"/>
    <n v="182.6"/>
    <n v="169.2"/>
    <n v="180.8"/>
    <n v="159.80000000000001"/>
    <n v="168.4"/>
    <n v="172.5"/>
    <n v="181.5"/>
    <n v="170"/>
    <n v="1032.2"/>
    <n v="176.3"/>
    <x v="122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2102.1999999999998"/>
    <n v="199.5"/>
    <n v="186.1"/>
    <n v="178.7"/>
    <n v="185.1"/>
    <n v="364.79999999999995"/>
    <n v="173.5"/>
    <n v="181.9"/>
    <n v="174.2"/>
    <n v="184.4"/>
    <n v="164.2"/>
    <n v="170.3"/>
    <n v="175"/>
    <n v="181"/>
    <n v="174.1"/>
    <n v="1049.0999999999999"/>
    <n v="177.2"/>
    <x v="122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2098.6999999999998"/>
    <n v="199.5"/>
    <n v="190.7"/>
    <n v="187.3"/>
    <n v="190.2"/>
    <n v="378"/>
    <n v="174"/>
    <n v="181.5"/>
    <n v="179.1"/>
    <n v="187.2"/>
    <n v="169.4"/>
    <n v="173.2"/>
    <n v="179.4"/>
    <n v="183.8"/>
    <n v="178.9"/>
    <n v="1072.0999999999999"/>
    <n v="178.8"/>
    <x v="123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135.6000000000004"/>
    <n v="203.5"/>
    <n v="181"/>
    <n v="167.7"/>
    <n v="178.9"/>
    <n v="348.7"/>
    <n v="175.2"/>
    <n v="182.1"/>
    <n v="169.6"/>
    <n v="181.5"/>
    <n v="160.1"/>
    <n v="168.8"/>
    <n v="174.2"/>
    <n v="184.4"/>
    <n v="170.9"/>
    <n v="1038.6000000000001"/>
    <n v="177.4"/>
    <x v="123"/>
  </r>
  <r>
    <x v="2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2111.7000000000003"/>
    <n v="200.6"/>
    <n v="186.9"/>
    <n v="179.2"/>
    <n v="185.7"/>
    <n v="366.1"/>
    <n v="175.2"/>
    <n v="181.7"/>
    <n v="174.6"/>
    <n v="185"/>
    <n v="164.5"/>
    <n v="170.7"/>
    <n v="176.4"/>
    <n v="184"/>
    <n v="175"/>
    <n v="1055.1999999999998"/>
    <n v="178.1"/>
    <x v="123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2113.9000000000005"/>
    <n v="199.9"/>
    <n v="191.2"/>
    <n v="187.9"/>
    <n v="190.8"/>
    <n v="379.1"/>
    <n v="174"/>
    <n v="182.5"/>
    <n v="179.8"/>
    <n v="187.8"/>
    <n v="169.7"/>
    <n v="173.8"/>
    <n v="180.3"/>
    <n v="184.9"/>
    <n v="179.5"/>
    <n v="1076.3"/>
    <n v="179.8"/>
    <x v="124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152"/>
    <n v="204.2"/>
    <n v="181.3"/>
    <n v="168.1"/>
    <n v="179.3"/>
    <n v="349.4"/>
    <n v="175.6"/>
    <n v="183.4"/>
    <n v="170.1"/>
    <n v="182.2"/>
    <n v="160.4"/>
    <n v="169.2"/>
    <n v="174.8"/>
    <n v="185.6"/>
    <n v="171.6"/>
    <n v="1042.2999999999997"/>
    <n v="178.2"/>
    <x v="124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127.8000000000002"/>
    <n v="201"/>
    <n v="187.3"/>
    <n v="179.7"/>
    <n v="186.2"/>
    <n v="367"/>
    <n v="175.6"/>
    <n v="182.8"/>
    <n v="175.2"/>
    <n v="185.7"/>
    <n v="164.8"/>
    <n v="171.2"/>
    <n v="177.1"/>
    <n v="185.2"/>
    <n v="175.7"/>
    <n v="1059.2"/>
    <n v="179.1"/>
    <x v="1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F057E-73EC-44E9-9000-6C0163F544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35">
    <pivotField axis="axisPage" multipleItemSelectionAllowed="1" showAll="0">
      <items count="4">
        <item h="1" x="0"/>
        <item x="2"/>
        <item h="1" x="1"/>
        <item t="default"/>
      </items>
    </pivotField>
    <pivotField axis="axisRow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Average of General index" fld="33" subtotal="average" baseField="1" baseItem="0" numFmtId="2"/>
  </dataFields>
  <formats count="3">
    <format dxfId="3">
      <pivotArea grandRow="1" outline="0" collapsedLevelsAreSubtotals="1" fieldPosition="0"/>
    </format>
    <format dxfId="2">
      <pivotArea outline="0" collapsedLevelsAreSubtotals="1" fieldPosition="0"/>
    </format>
    <format dxfId="1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54843-913F-4991-AC04-62F196F0E4E5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B50:N63" firstHeaderRow="0" firstDataRow="1" firstDataCol="1" rowPageCount="2" colPageCount="1"/>
  <pivotFields count="34">
    <pivotField axis="axisPage" multipleItemSelectionAllowed="1" showAll="0">
      <items count="4">
        <item h="1" x="0"/>
        <item h="1" x="2"/>
        <item x="1"/>
        <item t="default"/>
      </items>
    </pivotField>
    <pivotField axis="axisPage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253">
        <item h="1" m="1" x="129"/>
        <item h="1" m="1" x="133"/>
        <item h="1" m="1" x="138"/>
        <item h="1" m="1" x="127"/>
        <item h="1" m="1" x="126"/>
        <item h="1" m="1" x="132"/>
        <item h="1" m="1" x="131"/>
        <item h="1" m="1" x="128"/>
        <item h="1" m="1" x="130"/>
        <item h="1" m="1" x="137"/>
        <item h="1" m="1" x="136"/>
        <item h="1" m="1" x="135"/>
        <item h="1" m="1" x="134"/>
        <item h="1" m="1" x="143"/>
        <item h="1" m="1" x="147"/>
        <item h="1" m="1" x="151"/>
        <item h="1" m="1" x="140"/>
        <item h="1" m="1" x="139"/>
        <item h="1" m="1" x="146"/>
        <item h="1" m="1" x="145"/>
        <item h="1" m="1" x="141"/>
        <item h="1" m="1" x="142"/>
        <item h="1" m="1" x="144"/>
        <item h="1" m="1" x="150"/>
        <item h="1" m="1" x="149"/>
        <item h="1" m="1" x="148"/>
        <item h="1" m="1" x="155"/>
        <item h="1" m="1" x="159"/>
        <item h="1" m="1" x="163"/>
        <item h="1" m="1" x="153"/>
        <item h="1" m="1" x="152"/>
        <item h="1" m="1" x="158"/>
        <item h="1" m="1" x="157"/>
        <item h="1" m="1" x="154"/>
        <item h="1" m="1" x="156"/>
        <item h="1" m="1" x="162"/>
        <item h="1" m="1" x="161"/>
        <item h="1" m="1" x="160"/>
        <item h="1" m="1" x="167"/>
        <item h="1" m="1" x="171"/>
        <item h="1" m="1" x="175"/>
        <item h="1" m="1" x="165"/>
        <item h="1" m="1" x="164"/>
        <item h="1" m="1" x="170"/>
        <item h="1" m="1" x="169"/>
        <item h="1" m="1" x="166"/>
        <item h="1" m="1" x="168"/>
        <item h="1" m="1" x="174"/>
        <item h="1" m="1" x="173"/>
        <item h="1" m="1" x="172"/>
        <item h="1" m="1" x="179"/>
        <item h="1" m="1" x="183"/>
        <item h="1" m="1" x="187"/>
        <item h="1" m="1" x="177"/>
        <item h="1" m="1" x="176"/>
        <item h="1" m="1" x="182"/>
        <item h="1" m="1" x="181"/>
        <item h="1" m="1" x="178"/>
        <item h="1" m="1" x="180"/>
        <item h="1" m="1" x="186"/>
        <item h="1" m="1" x="185"/>
        <item h="1" m="1" x="184"/>
        <item h="1" m="1" x="191"/>
        <item h="1" m="1" x="195"/>
        <item h="1" m="1" x="199"/>
        <item h="1" m="1" x="189"/>
        <item h="1" m="1" x="188"/>
        <item h="1" m="1" x="194"/>
        <item h="1" m="1" x="193"/>
        <item h="1" m="1" x="190"/>
        <item h="1" m="1" x="192"/>
        <item h="1" m="1" x="198"/>
        <item h="1" m="1" x="197"/>
        <item h="1" m="1" x="196"/>
        <item h="1" m="1" x="206"/>
        <item h="1" m="1" x="210"/>
        <item h="1" m="1" x="201"/>
        <item h="1" m="1" x="200"/>
        <item h="1" m="1" x="205"/>
        <item h="1" m="1" x="204"/>
        <item h="1" m="1" x="202"/>
        <item h="1" m="1" x="203"/>
        <item h="1" m="1" x="209"/>
        <item h="1" m="1" x="208"/>
        <item h="1" m="1" x="207"/>
        <item h="1" m="1" x="214"/>
        <item h="1" m="1" x="218"/>
        <item h="1" m="1" x="222"/>
        <item h="1" m="1" x="212"/>
        <item h="1" m="1" x="211"/>
        <item h="1" m="1" x="217"/>
        <item h="1" m="1" x="216"/>
        <item h="1" m="1" x="213"/>
        <item h="1" m="1" x="215"/>
        <item h="1" m="1" x="221"/>
        <item h="1" m="1" x="220"/>
        <item h="1" m="1" x="219"/>
        <item h="1" m="1" x="226"/>
        <item h="1" m="1" x="230"/>
        <item h="1" m="1" x="234"/>
        <item h="1" m="1" x="224"/>
        <item h="1" m="1" x="223"/>
        <item h="1" m="1" x="229"/>
        <item h="1" m="1" x="228"/>
        <item h="1" m="1" x="225"/>
        <item h="1" m="1" x="227"/>
        <item h="1" m="1" x="233"/>
        <item h="1" m="1" x="232"/>
        <item h="1" m="1" x="231"/>
        <item h="1" m="1" x="238"/>
        <item h="1" m="1" x="242"/>
        <item h="1" m="1" x="246"/>
        <item h="1" m="1" x="236"/>
        <item h="1" m="1" x="235"/>
        <item h="1" m="1" x="241"/>
        <item h="1" m="1" x="240"/>
        <item h="1" m="1" x="237"/>
        <item h="1" m="1" x="239"/>
        <item h="1" m="1" x="245"/>
        <item h="1" m="1" x="244"/>
        <item h="1" m="1" x="243"/>
        <item h="1" m="1" x="250"/>
        <item h="1" m="1" x="248"/>
        <item h="1" m="1" x="247"/>
        <item h="1" m="1" x="249"/>
        <item h="1" m="1" x="25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m="1" x="12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</pivotFields>
  <rowFields count="1">
    <field x="33"/>
  </rowFields>
  <rowItems count="13"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2">
    <pageField fld="1" hier="-1"/>
    <pageField fld="0" hier="-1"/>
  </pageFields>
  <dataFields count="12">
    <dataField name="Sum of Cereals and products" fld="3" baseField="0" baseItem="0"/>
    <dataField name="Sum of Meat and fish" fld="4" baseField="0" baseItem="0"/>
    <dataField name="Sum of Egg" fld="5" baseField="0" baseItem="0"/>
    <dataField name="Sum of Milk and products" fld="6" baseField="0" baseItem="0"/>
    <dataField name="Sum of Spices" fld="12" baseField="0" baseItem="0"/>
    <dataField name="Sum of Oils and fats" fld="7" baseField="0" baseItem="0"/>
    <dataField name="Sum of Fruits" fld="8" baseField="0" baseItem="0"/>
    <dataField name="Sum of Vegetables" fld="9" baseField="0" baseItem="0"/>
    <dataField name="Sum of Pulses and products" fld="10" baseField="0" baseItem="0"/>
    <dataField name="Sum of Sugar and Confectionery" fld="11" baseField="0" baseItem="0"/>
    <dataField name="Sum of Non-alcoholic beverages" fld="13" baseField="0" baseItem="0"/>
    <dataField name="Sum of Prepared meals, snacks, sweets etc.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04BAA-763A-422E-97D8-BADF1CDD011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35">
    <pivotField showAll="0"/>
    <pivotField axis="axisRow" showAll="0">
      <items count="12">
        <item h="1" x="10"/>
        <item h="1" x="9"/>
        <item h="1" x="8"/>
        <item h="1" x="7"/>
        <item h="1" x="6"/>
        <item x="5"/>
        <item x="4"/>
        <item x="3"/>
        <item x="2"/>
        <item x="1"/>
        <item h="1" x="0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showAll="0"/>
  </pivotFields>
  <rowFields count="1">
    <field x="1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ood" fld="16" subtotal="average" baseField="1" baseItem="0"/>
    <dataField name="Average of Health" fld="26" subtotal="average" baseField="1" baseItem="0"/>
    <dataField name="Average of Miscellaneous new" fld="32" subtotal="average" baseField="1" baseItem="6"/>
  </dataFields>
  <formats count="1">
    <format dxfId="0">
      <pivotArea outline="0" collapsedLevelsAreSubtotals="1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2CE3-4958-4353-BEC6-62BEFB3C9220}">
  <dimension ref="A1:AD373"/>
  <sheetViews>
    <sheetView topLeftCell="M1" workbookViewId="0">
      <pane ySplit="1" topLeftCell="A347" activePane="bottomLeft" state="frozen"/>
      <selection pane="bottomLeft" activeCell="Q371" sqref="Q371"/>
    </sheetView>
  </sheetViews>
  <sheetFormatPr defaultRowHeight="14.4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sheetProtection algorithmName="SHA-512" hashValue="IV3xgdxsePG2Fq8dtHUlVISZ1gIaEV+fa+oJRlt0mueWz6k/gh4zv7j15nI14TPWWjiC6S8g4qdxIiITT3jNzw==" saltValue="9Xmi5SfzHYKsQKWpFn/Kf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141E-0EC9-4D6F-A345-51D4732483CB}">
  <dimension ref="A1:AI373"/>
  <sheetViews>
    <sheetView workbookViewId="0">
      <pane ySplit="1" topLeftCell="A2" activePane="bottomLeft" state="frozen"/>
      <selection pane="bottomLeft" activeCell="AE8" sqref="AE8"/>
    </sheetView>
  </sheetViews>
  <sheetFormatPr defaultRowHeight="14.4"/>
  <cols>
    <col min="1" max="1" width="12.77734375" customWidth="1"/>
    <col min="3" max="3" width="13.5546875" customWidth="1"/>
    <col min="4" max="4" width="13.5546875" style="3" customWidth="1"/>
    <col min="5" max="17" width="13.5546875" customWidth="1"/>
    <col min="18" max="18" width="18" style="3" bestFit="1" customWidth="1"/>
    <col min="19" max="19" width="10.21875" style="3" customWidth="1"/>
    <col min="20" max="20" width="11.109375" style="3" customWidth="1"/>
    <col min="21" max="21" width="10.88671875" style="3" customWidth="1"/>
    <col min="22" max="22" width="9.77734375" style="3" bestFit="1" customWidth="1"/>
    <col min="23" max="23" width="8.88671875" customWidth="1"/>
    <col min="24" max="25" width="8.88671875" style="3"/>
    <col min="26" max="26" width="10.88671875" style="3" customWidth="1"/>
    <col min="27" max="27" width="8.88671875" style="3"/>
    <col min="28" max="28" width="14.21875" style="3" customWidth="1"/>
    <col min="29" max="30" width="10.88671875" style="3" customWidth="1"/>
    <col min="31" max="31" width="12.77734375" style="3" customWidth="1"/>
    <col min="32" max="33" width="12.88671875" style="3" customWidth="1"/>
    <col min="34" max="34" width="8.88671875" style="3"/>
    <col min="35" max="35" width="12.44140625" style="10" customWidth="1"/>
  </cols>
  <sheetData>
    <row r="1" spans="1:35" ht="61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49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52</v>
      </c>
      <c r="W1" s="1" t="s">
        <v>20</v>
      </c>
      <c r="X1" s="8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8" t="s">
        <v>203</v>
      </c>
      <c r="AH1" s="1" t="s">
        <v>29</v>
      </c>
      <c r="AI1" s="9" t="s">
        <v>55</v>
      </c>
    </row>
    <row r="2" spans="1:35">
      <c r="A2" t="s">
        <v>30</v>
      </c>
      <c r="B2">
        <v>2023</v>
      </c>
      <c r="C2" t="s">
        <v>38</v>
      </c>
      <c r="D2" s="3">
        <v>173.2</v>
      </c>
      <c r="E2" s="3">
        <v>211.5</v>
      </c>
      <c r="F2" s="3">
        <v>171</v>
      </c>
      <c r="G2" s="3">
        <v>179.6</v>
      </c>
      <c r="H2" s="3">
        <v>173.3</v>
      </c>
      <c r="I2" s="3">
        <v>169</v>
      </c>
      <c r="J2" s="3">
        <v>148.69999999999999</v>
      </c>
      <c r="K2" s="3">
        <v>174.9</v>
      </c>
      <c r="L2" s="3">
        <v>121.9</v>
      </c>
      <c r="M2" s="3">
        <v>221</v>
      </c>
      <c r="N2" s="3">
        <v>178.7</v>
      </c>
      <c r="O2" s="3">
        <v>191.1</v>
      </c>
      <c r="P2" s="3">
        <v>176.8</v>
      </c>
      <c r="Q2" s="3">
        <v>2290.7000000000007</v>
      </c>
      <c r="R2" s="3">
        <v>199.9</v>
      </c>
      <c r="S2" s="3">
        <v>191.2</v>
      </c>
      <c r="T2" s="3">
        <v>187.9</v>
      </c>
      <c r="U2" s="3">
        <v>190.8</v>
      </c>
      <c r="V2" s="3">
        <v>569.90000000000009</v>
      </c>
      <c r="W2" t="s">
        <v>48</v>
      </c>
      <c r="X2" s="3">
        <v>174</v>
      </c>
      <c r="Y2" s="3">
        <v>182.5</v>
      </c>
      <c r="Z2" s="3">
        <v>179.8</v>
      </c>
      <c r="AA2" s="3">
        <v>187.8</v>
      </c>
      <c r="AB2" s="3">
        <v>169.7</v>
      </c>
      <c r="AC2" s="3">
        <v>173.8</v>
      </c>
      <c r="AD2" s="3">
        <v>180.3</v>
      </c>
      <c r="AE2" s="3">
        <v>184.9</v>
      </c>
      <c r="AF2" s="3">
        <v>179.5</v>
      </c>
      <c r="AG2" s="3">
        <v>887.69999999999993</v>
      </c>
      <c r="AH2" s="3">
        <v>179.8</v>
      </c>
      <c r="AI2" s="10" t="str">
        <f t="shared" ref="AI2:AI65" si="0">CONCATENATE(B2," ",C2)</f>
        <v>2023 May</v>
      </c>
    </row>
    <row r="3" spans="1:35">
      <c r="A3" t="s">
        <v>33</v>
      </c>
      <c r="B3">
        <v>2023</v>
      </c>
      <c r="C3" t="s">
        <v>38</v>
      </c>
      <c r="D3" s="3">
        <v>174.7</v>
      </c>
      <c r="E3" s="3">
        <v>219.4</v>
      </c>
      <c r="F3" s="3">
        <v>176.7</v>
      </c>
      <c r="G3" s="3">
        <v>179.4</v>
      </c>
      <c r="H3" s="3">
        <v>164.4</v>
      </c>
      <c r="I3" s="3">
        <v>175.8</v>
      </c>
      <c r="J3" s="3">
        <v>185</v>
      </c>
      <c r="K3" s="3">
        <v>176.9</v>
      </c>
      <c r="L3" s="3">
        <v>124.2</v>
      </c>
      <c r="M3" s="3">
        <v>211.9</v>
      </c>
      <c r="N3" s="3">
        <v>165.9</v>
      </c>
      <c r="O3" s="3">
        <v>197.7</v>
      </c>
      <c r="P3" s="3">
        <v>183.1</v>
      </c>
      <c r="Q3" s="3">
        <v>2335.1</v>
      </c>
      <c r="R3" s="3">
        <v>204.2</v>
      </c>
      <c r="S3" s="3">
        <v>181.3</v>
      </c>
      <c r="T3" s="3">
        <v>168.1</v>
      </c>
      <c r="U3" s="3">
        <v>179.3</v>
      </c>
      <c r="V3" s="3">
        <v>528.70000000000005</v>
      </c>
      <c r="W3">
        <v>175.6</v>
      </c>
      <c r="X3" s="3">
        <v>175.6</v>
      </c>
      <c r="Y3" s="3">
        <v>183.4</v>
      </c>
      <c r="Z3" s="3">
        <v>170.1</v>
      </c>
      <c r="AA3" s="3">
        <v>182.2</v>
      </c>
      <c r="AB3" s="3">
        <v>160.4</v>
      </c>
      <c r="AC3" s="3">
        <v>169.2</v>
      </c>
      <c r="AD3" s="3">
        <v>174.8</v>
      </c>
      <c r="AE3" s="3">
        <v>185.6</v>
      </c>
      <c r="AF3" s="3">
        <v>171.6</v>
      </c>
      <c r="AG3" s="3">
        <v>856.9</v>
      </c>
      <c r="AH3" s="3">
        <v>178.2</v>
      </c>
      <c r="AI3" s="10" t="str">
        <f t="shared" si="0"/>
        <v>2023 May</v>
      </c>
    </row>
    <row r="4" spans="1:35">
      <c r="A4" t="s">
        <v>30</v>
      </c>
      <c r="B4">
        <v>2023</v>
      </c>
      <c r="C4" t="s">
        <v>36</v>
      </c>
      <c r="D4" s="3">
        <v>174.3</v>
      </c>
      <c r="E4" s="3">
        <v>205.2</v>
      </c>
      <c r="F4" s="3">
        <v>173.9</v>
      </c>
      <c r="G4" s="3">
        <v>177</v>
      </c>
      <c r="H4" s="3">
        <v>183.3</v>
      </c>
      <c r="I4" s="3">
        <v>167.2</v>
      </c>
      <c r="J4" s="3">
        <v>140.9</v>
      </c>
      <c r="K4" s="3">
        <v>170.5</v>
      </c>
      <c r="L4" s="3">
        <v>119.1</v>
      </c>
      <c r="M4" s="3">
        <v>212.1</v>
      </c>
      <c r="N4" s="3">
        <v>177.6</v>
      </c>
      <c r="O4" s="3">
        <v>189.9</v>
      </c>
      <c r="P4" s="3">
        <v>174.8</v>
      </c>
      <c r="Q4" s="3">
        <v>2265.8000000000002</v>
      </c>
      <c r="R4" s="3">
        <v>198.4</v>
      </c>
      <c r="S4" s="3">
        <v>190</v>
      </c>
      <c r="T4" s="3">
        <v>187</v>
      </c>
      <c r="U4" s="3">
        <v>189.6</v>
      </c>
      <c r="V4" s="3">
        <v>566.6</v>
      </c>
      <c r="W4" t="s">
        <v>32</v>
      </c>
      <c r="X4" s="3">
        <v>174</v>
      </c>
      <c r="Y4" s="3">
        <v>181.4</v>
      </c>
      <c r="Z4" s="3">
        <v>178.6</v>
      </c>
      <c r="AA4" s="3">
        <v>186.6</v>
      </c>
      <c r="AB4" s="3">
        <v>169</v>
      </c>
      <c r="AC4" s="3">
        <v>172.8</v>
      </c>
      <c r="AD4" s="3">
        <v>178.5</v>
      </c>
      <c r="AE4" s="3">
        <v>180.7</v>
      </c>
      <c r="AF4" s="3">
        <v>177.9</v>
      </c>
      <c r="AG4" s="3">
        <v>879.00000000000011</v>
      </c>
      <c r="AH4" s="3">
        <v>178</v>
      </c>
      <c r="AI4" s="10" t="str">
        <f t="shared" si="0"/>
        <v>2023 March</v>
      </c>
    </row>
    <row r="5" spans="1:35">
      <c r="A5" t="s">
        <v>33</v>
      </c>
      <c r="B5">
        <v>2023</v>
      </c>
      <c r="C5" t="s">
        <v>36</v>
      </c>
      <c r="D5" s="3">
        <v>174.7</v>
      </c>
      <c r="E5" s="3">
        <v>212.2</v>
      </c>
      <c r="F5" s="3">
        <v>177.2</v>
      </c>
      <c r="G5" s="3">
        <v>177.9</v>
      </c>
      <c r="H5" s="3">
        <v>172.2</v>
      </c>
      <c r="I5" s="3">
        <v>172.1</v>
      </c>
      <c r="J5" s="3">
        <v>175.9</v>
      </c>
      <c r="K5" s="3">
        <v>172.2</v>
      </c>
      <c r="L5" s="3">
        <v>121.9</v>
      </c>
      <c r="M5" s="3">
        <v>204.8</v>
      </c>
      <c r="N5" s="3">
        <v>164.9</v>
      </c>
      <c r="O5" s="3">
        <v>196.6</v>
      </c>
      <c r="P5" s="3">
        <v>180.8</v>
      </c>
      <c r="Q5" s="3">
        <v>2303.4</v>
      </c>
      <c r="R5" s="3">
        <v>202.7</v>
      </c>
      <c r="S5" s="3">
        <v>180.2</v>
      </c>
      <c r="T5" s="3">
        <v>167</v>
      </c>
      <c r="U5" s="3">
        <v>178.2</v>
      </c>
      <c r="V5" s="3">
        <v>525.4</v>
      </c>
      <c r="W5">
        <v>173.5</v>
      </c>
      <c r="X5" s="3">
        <v>173.5</v>
      </c>
      <c r="Y5" s="3">
        <v>182.6</v>
      </c>
      <c r="Z5" s="3">
        <v>169.2</v>
      </c>
      <c r="AA5" s="3">
        <v>180.8</v>
      </c>
      <c r="AB5" s="3">
        <v>159.80000000000001</v>
      </c>
      <c r="AC5" s="3">
        <v>168.4</v>
      </c>
      <c r="AD5" s="3">
        <v>172.5</v>
      </c>
      <c r="AE5" s="3">
        <v>181.5</v>
      </c>
      <c r="AF5" s="3">
        <v>170</v>
      </c>
      <c r="AG5" s="3">
        <v>848.9</v>
      </c>
      <c r="AH5" s="3">
        <v>176.3</v>
      </c>
      <c r="AI5" s="10" t="str">
        <f t="shared" si="0"/>
        <v>2023 March</v>
      </c>
    </row>
    <row r="6" spans="1:35">
      <c r="A6" t="s">
        <v>30</v>
      </c>
      <c r="B6">
        <v>2023</v>
      </c>
      <c r="C6" t="s">
        <v>31</v>
      </c>
      <c r="D6" s="3">
        <v>174</v>
      </c>
      <c r="E6" s="3">
        <v>208.3</v>
      </c>
      <c r="F6" s="3">
        <v>192.9</v>
      </c>
      <c r="G6" s="3">
        <v>174.3</v>
      </c>
      <c r="H6" s="3">
        <v>192.6</v>
      </c>
      <c r="I6" s="3">
        <v>156.30000000000001</v>
      </c>
      <c r="J6" s="3">
        <v>142.9</v>
      </c>
      <c r="K6" s="3">
        <v>170.7</v>
      </c>
      <c r="L6" s="3">
        <v>120.3</v>
      </c>
      <c r="M6" s="3">
        <v>210.5</v>
      </c>
      <c r="N6" s="3">
        <v>176.9</v>
      </c>
      <c r="O6" s="3">
        <v>188.5</v>
      </c>
      <c r="P6" s="3">
        <v>175</v>
      </c>
      <c r="Q6" s="3">
        <v>2283.2000000000003</v>
      </c>
      <c r="R6" s="3">
        <v>196.9</v>
      </c>
      <c r="S6" s="3">
        <v>189</v>
      </c>
      <c r="T6" s="3">
        <v>186.3</v>
      </c>
      <c r="U6" s="3">
        <v>188.6</v>
      </c>
      <c r="V6" s="3">
        <v>563.9</v>
      </c>
      <c r="W6" t="s">
        <v>32</v>
      </c>
      <c r="X6" s="3">
        <v>174</v>
      </c>
      <c r="Y6" s="3">
        <v>183.2</v>
      </c>
      <c r="Z6" s="3">
        <v>177.2</v>
      </c>
      <c r="AA6" s="3">
        <v>184.7</v>
      </c>
      <c r="AB6" s="3">
        <v>168.2</v>
      </c>
      <c r="AC6" s="3">
        <v>171.8</v>
      </c>
      <c r="AD6" s="3">
        <v>177.8</v>
      </c>
      <c r="AE6" s="3">
        <v>178.4</v>
      </c>
      <c r="AF6" s="3">
        <v>176.5</v>
      </c>
      <c r="AG6" s="3">
        <v>872.1</v>
      </c>
      <c r="AH6" s="3">
        <v>177.8</v>
      </c>
      <c r="AI6" s="10" t="str">
        <f t="shared" si="0"/>
        <v>2023 January</v>
      </c>
    </row>
    <row r="7" spans="1:35">
      <c r="A7" t="s">
        <v>33</v>
      </c>
      <c r="B7">
        <v>2023</v>
      </c>
      <c r="C7" t="s">
        <v>31</v>
      </c>
      <c r="D7" s="3">
        <v>173.3</v>
      </c>
      <c r="E7" s="3">
        <v>215.2</v>
      </c>
      <c r="F7" s="3">
        <v>197</v>
      </c>
      <c r="G7" s="3">
        <v>175.2</v>
      </c>
      <c r="H7" s="3">
        <v>178</v>
      </c>
      <c r="I7" s="3">
        <v>160.5</v>
      </c>
      <c r="J7" s="3">
        <v>175.3</v>
      </c>
      <c r="K7" s="3">
        <v>171.2</v>
      </c>
      <c r="L7" s="3">
        <v>122.7</v>
      </c>
      <c r="M7" s="3">
        <v>204.3</v>
      </c>
      <c r="N7" s="3">
        <v>163.69999999999999</v>
      </c>
      <c r="O7" s="3">
        <v>194.3</v>
      </c>
      <c r="P7" s="3">
        <v>179.5</v>
      </c>
      <c r="Q7" s="3">
        <v>2310.2000000000003</v>
      </c>
      <c r="R7" s="3">
        <v>201.6</v>
      </c>
      <c r="S7" s="3">
        <v>178.7</v>
      </c>
      <c r="T7" s="3">
        <v>165.3</v>
      </c>
      <c r="U7" s="3">
        <v>176.6</v>
      </c>
      <c r="V7" s="3">
        <v>520.6</v>
      </c>
      <c r="W7">
        <v>172.1</v>
      </c>
      <c r="X7" s="3">
        <v>172.1</v>
      </c>
      <c r="Y7" s="3">
        <v>180.1</v>
      </c>
      <c r="Z7" s="3">
        <v>168</v>
      </c>
      <c r="AA7" s="3">
        <v>178.5</v>
      </c>
      <c r="AB7" s="3">
        <v>159.5</v>
      </c>
      <c r="AC7" s="3">
        <v>167.8</v>
      </c>
      <c r="AD7" s="3">
        <v>171.8</v>
      </c>
      <c r="AE7" s="3">
        <v>178.8</v>
      </c>
      <c r="AF7" s="3">
        <v>168.9</v>
      </c>
      <c r="AG7" s="3">
        <v>843</v>
      </c>
      <c r="AH7" s="3">
        <v>174.9</v>
      </c>
      <c r="AI7" s="10" t="str">
        <f t="shared" si="0"/>
        <v>2023 January</v>
      </c>
    </row>
    <row r="8" spans="1:35">
      <c r="A8" t="s">
        <v>30</v>
      </c>
      <c r="B8">
        <v>2023</v>
      </c>
      <c r="C8" t="s">
        <v>35</v>
      </c>
      <c r="D8" s="3">
        <v>174.2</v>
      </c>
      <c r="E8" s="3">
        <v>205.2</v>
      </c>
      <c r="F8" s="3">
        <v>173.9</v>
      </c>
      <c r="G8" s="3">
        <v>177</v>
      </c>
      <c r="H8" s="3">
        <v>183.4</v>
      </c>
      <c r="I8" s="3">
        <v>167.2</v>
      </c>
      <c r="J8" s="3">
        <v>140.9</v>
      </c>
      <c r="K8" s="3">
        <v>170.4</v>
      </c>
      <c r="L8" s="3">
        <v>119.1</v>
      </c>
      <c r="M8" s="3">
        <v>212.1</v>
      </c>
      <c r="N8" s="3">
        <v>177.6</v>
      </c>
      <c r="O8" s="3">
        <v>189.9</v>
      </c>
      <c r="P8" s="3">
        <v>174.8</v>
      </c>
      <c r="Q8" s="3">
        <v>2265.6999999999998</v>
      </c>
      <c r="R8" s="3">
        <v>198.3</v>
      </c>
      <c r="S8" s="3">
        <v>190</v>
      </c>
      <c r="T8" s="3">
        <v>187</v>
      </c>
      <c r="U8" s="3">
        <v>189.6</v>
      </c>
      <c r="V8" s="3">
        <v>566.6</v>
      </c>
      <c r="W8" t="s">
        <v>32</v>
      </c>
      <c r="X8" s="3">
        <v>174</v>
      </c>
      <c r="Y8" s="3">
        <v>181.6</v>
      </c>
      <c r="Z8" s="3">
        <v>178.6</v>
      </c>
      <c r="AA8" s="3">
        <v>186.6</v>
      </c>
      <c r="AB8" s="3">
        <v>169</v>
      </c>
      <c r="AC8" s="3">
        <v>172.8</v>
      </c>
      <c r="AD8" s="3">
        <v>178.5</v>
      </c>
      <c r="AE8" s="3">
        <v>180.7</v>
      </c>
      <c r="AF8" s="3">
        <v>177.9</v>
      </c>
      <c r="AG8" s="3">
        <v>879.00000000000011</v>
      </c>
      <c r="AH8" s="3">
        <v>178</v>
      </c>
      <c r="AI8" s="10" t="str">
        <f t="shared" si="0"/>
        <v>2023 February</v>
      </c>
    </row>
    <row r="9" spans="1:35">
      <c r="A9" t="s">
        <v>33</v>
      </c>
      <c r="B9">
        <v>2023</v>
      </c>
      <c r="C9" t="s">
        <v>35</v>
      </c>
      <c r="D9" s="3">
        <v>174.7</v>
      </c>
      <c r="E9" s="3">
        <v>212.2</v>
      </c>
      <c r="F9" s="3">
        <v>177.2</v>
      </c>
      <c r="G9" s="3">
        <v>177.9</v>
      </c>
      <c r="H9" s="3">
        <v>172.2</v>
      </c>
      <c r="I9" s="3">
        <v>172.1</v>
      </c>
      <c r="J9" s="3">
        <v>175.8</v>
      </c>
      <c r="K9" s="3">
        <v>172.2</v>
      </c>
      <c r="L9" s="3">
        <v>121.9</v>
      </c>
      <c r="M9" s="3">
        <v>204.8</v>
      </c>
      <c r="N9" s="3">
        <v>164.9</v>
      </c>
      <c r="O9" s="3">
        <v>196.6</v>
      </c>
      <c r="P9" s="3">
        <v>180.7</v>
      </c>
      <c r="Q9" s="3">
        <v>2303.1999999999998</v>
      </c>
      <c r="R9" s="3">
        <v>202.7</v>
      </c>
      <c r="S9" s="3">
        <v>180.3</v>
      </c>
      <c r="T9" s="3">
        <v>167</v>
      </c>
      <c r="U9" s="3">
        <v>178.2</v>
      </c>
      <c r="V9" s="3">
        <v>525.5</v>
      </c>
      <c r="W9">
        <v>173.5</v>
      </c>
      <c r="X9" s="3">
        <v>173.5</v>
      </c>
      <c r="Y9" s="3">
        <v>182.8</v>
      </c>
      <c r="Z9" s="3">
        <v>169.2</v>
      </c>
      <c r="AA9" s="3">
        <v>180.8</v>
      </c>
      <c r="AB9" s="3">
        <v>159.80000000000001</v>
      </c>
      <c r="AC9" s="3">
        <v>168.4</v>
      </c>
      <c r="AD9" s="3">
        <v>172.5</v>
      </c>
      <c r="AE9" s="3">
        <v>181.4</v>
      </c>
      <c r="AF9" s="3">
        <v>170</v>
      </c>
      <c r="AG9" s="3">
        <v>848.8</v>
      </c>
      <c r="AH9" s="3">
        <v>176.3</v>
      </c>
      <c r="AI9" s="10" t="str">
        <f t="shared" si="0"/>
        <v>2023 February</v>
      </c>
    </row>
    <row r="10" spans="1:35">
      <c r="A10" t="s">
        <v>30</v>
      </c>
      <c r="B10">
        <v>2023</v>
      </c>
      <c r="C10" t="s">
        <v>37</v>
      </c>
      <c r="D10" s="3">
        <v>173.3</v>
      </c>
      <c r="E10" s="3">
        <v>206.9</v>
      </c>
      <c r="F10" s="3">
        <v>167.9</v>
      </c>
      <c r="G10" s="3">
        <v>178.2</v>
      </c>
      <c r="H10" s="3">
        <v>178.5</v>
      </c>
      <c r="I10" s="3">
        <v>173.7</v>
      </c>
      <c r="J10" s="3">
        <v>142.80000000000001</v>
      </c>
      <c r="K10" s="3">
        <v>172.8</v>
      </c>
      <c r="L10" s="3">
        <v>120.4</v>
      </c>
      <c r="M10" s="3">
        <v>215.5</v>
      </c>
      <c r="N10" s="3">
        <v>178.2</v>
      </c>
      <c r="O10" s="3">
        <v>190.5</v>
      </c>
      <c r="P10" s="3">
        <v>175.5</v>
      </c>
      <c r="Q10" s="3">
        <v>2274.1999999999998</v>
      </c>
      <c r="R10" s="3">
        <v>199.5</v>
      </c>
      <c r="S10" s="3">
        <v>190.7</v>
      </c>
      <c r="T10" s="3">
        <v>187.3</v>
      </c>
      <c r="U10" s="3">
        <v>190.2</v>
      </c>
      <c r="V10" s="3">
        <v>568.20000000000005</v>
      </c>
      <c r="W10" t="s">
        <v>48</v>
      </c>
      <c r="X10" s="3">
        <v>174</v>
      </c>
      <c r="Y10" s="3">
        <v>181.5</v>
      </c>
      <c r="Z10" s="3">
        <v>179.1</v>
      </c>
      <c r="AA10" s="3">
        <v>187.2</v>
      </c>
      <c r="AB10" s="3">
        <v>169.4</v>
      </c>
      <c r="AC10" s="3">
        <v>173.2</v>
      </c>
      <c r="AD10" s="3">
        <v>179.4</v>
      </c>
      <c r="AE10" s="3">
        <v>183.8</v>
      </c>
      <c r="AF10" s="3">
        <v>178.9</v>
      </c>
      <c r="AG10" s="3">
        <v>884.4</v>
      </c>
      <c r="AH10" s="3">
        <v>178.8</v>
      </c>
      <c r="AI10" s="10" t="str">
        <f t="shared" si="0"/>
        <v>2023 April</v>
      </c>
    </row>
    <row r="11" spans="1:35">
      <c r="A11" t="s">
        <v>33</v>
      </c>
      <c r="B11">
        <v>2023</v>
      </c>
      <c r="C11" t="s">
        <v>37</v>
      </c>
      <c r="D11" s="3">
        <v>174.8</v>
      </c>
      <c r="E11" s="3">
        <v>213.7</v>
      </c>
      <c r="F11" s="3">
        <v>172.4</v>
      </c>
      <c r="G11" s="3">
        <v>178.8</v>
      </c>
      <c r="H11" s="3">
        <v>168.7</v>
      </c>
      <c r="I11" s="3">
        <v>179.2</v>
      </c>
      <c r="J11" s="3">
        <v>179.9</v>
      </c>
      <c r="K11" s="3">
        <v>174.7</v>
      </c>
      <c r="L11" s="3">
        <v>123.1</v>
      </c>
      <c r="M11" s="3">
        <v>207.8</v>
      </c>
      <c r="N11" s="3">
        <v>165.5</v>
      </c>
      <c r="O11" s="3">
        <v>197</v>
      </c>
      <c r="P11" s="3">
        <v>182.1</v>
      </c>
      <c r="Q11" s="3">
        <v>2317.7000000000003</v>
      </c>
      <c r="R11" s="3">
        <v>203.5</v>
      </c>
      <c r="S11" s="3">
        <v>181</v>
      </c>
      <c r="T11" s="3">
        <v>167.7</v>
      </c>
      <c r="U11" s="3">
        <v>178.9</v>
      </c>
      <c r="V11" s="3">
        <v>527.6</v>
      </c>
      <c r="W11">
        <v>175.2</v>
      </c>
      <c r="X11" s="3">
        <v>175.2</v>
      </c>
      <c r="Y11" s="3">
        <v>182.1</v>
      </c>
      <c r="Z11" s="3">
        <v>169.6</v>
      </c>
      <c r="AA11" s="3">
        <v>181.5</v>
      </c>
      <c r="AB11" s="3">
        <v>160.1</v>
      </c>
      <c r="AC11" s="3">
        <v>168.8</v>
      </c>
      <c r="AD11" s="3">
        <v>174.2</v>
      </c>
      <c r="AE11" s="3">
        <v>184.4</v>
      </c>
      <c r="AF11" s="3">
        <v>170.9</v>
      </c>
      <c r="AG11" s="3">
        <v>853.8</v>
      </c>
      <c r="AH11" s="3">
        <v>177.4</v>
      </c>
      <c r="AI11" s="10" t="str">
        <f t="shared" si="0"/>
        <v>2023 April</v>
      </c>
    </row>
    <row r="12" spans="1:35">
      <c r="A12" t="s">
        <v>34</v>
      </c>
      <c r="B12">
        <v>2023</v>
      </c>
      <c r="C12" t="s">
        <v>38</v>
      </c>
      <c r="D12" s="3">
        <v>173.7</v>
      </c>
      <c r="E12" s="3">
        <v>214.3</v>
      </c>
      <c r="F12" s="3">
        <v>173.2</v>
      </c>
      <c r="G12" s="3">
        <v>179.5</v>
      </c>
      <c r="H12" s="3">
        <v>170</v>
      </c>
      <c r="I12" s="3">
        <v>172.2</v>
      </c>
      <c r="J12" s="3">
        <v>161</v>
      </c>
      <c r="K12" s="3">
        <v>175.6</v>
      </c>
      <c r="L12" s="3">
        <v>122.7</v>
      </c>
      <c r="M12" s="3">
        <v>218</v>
      </c>
      <c r="N12" s="3">
        <v>173.4</v>
      </c>
      <c r="O12" s="3">
        <v>194.2</v>
      </c>
      <c r="P12" s="3">
        <v>179.1</v>
      </c>
      <c r="Q12" s="3">
        <v>2306.9</v>
      </c>
      <c r="R12" s="3">
        <v>201</v>
      </c>
      <c r="S12" s="3">
        <v>187.3</v>
      </c>
      <c r="T12" s="3">
        <v>179.7</v>
      </c>
      <c r="U12" s="3">
        <v>186.2</v>
      </c>
      <c r="V12" s="3">
        <v>553.20000000000005</v>
      </c>
      <c r="W12">
        <v>175.6</v>
      </c>
      <c r="X12" s="3">
        <v>175.6</v>
      </c>
      <c r="Y12" s="3">
        <v>182.8</v>
      </c>
      <c r="Z12" s="3">
        <v>175.2</v>
      </c>
      <c r="AA12" s="3">
        <v>185.7</v>
      </c>
      <c r="AB12" s="3">
        <v>164.8</v>
      </c>
      <c r="AC12" s="3">
        <v>171.2</v>
      </c>
      <c r="AD12" s="3">
        <v>177.1</v>
      </c>
      <c r="AE12" s="3">
        <v>185.2</v>
      </c>
      <c r="AF12" s="3">
        <v>175.7</v>
      </c>
      <c r="AG12" s="3">
        <v>872.09999999999991</v>
      </c>
      <c r="AH12" s="3">
        <v>179.1</v>
      </c>
      <c r="AI12" s="10" t="str">
        <f t="shared" si="0"/>
        <v>2023 May</v>
      </c>
    </row>
    <row r="13" spans="1:35">
      <c r="A13" t="s">
        <v>34</v>
      </c>
      <c r="B13">
        <v>2023</v>
      </c>
      <c r="C13" t="s">
        <v>36</v>
      </c>
      <c r="D13" s="3">
        <v>174.4</v>
      </c>
      <c r="E13" s="3">
        <v>207.7</v>
      </c>
      <c r="F13" s="3">
        <v>175.2</v>
      </c>
      <c r="G13" s="3">
        <v>177.3</v>
      </c>
      <c r="H13" s="3">
        <v>179.2</v>
      </c>
      <c r="I13" s="3">
        <v>169.5</v>
      </c>
      <c r="J13" s="3">
        <v>152.80000000000001</v>
      </c>
      <c r="K13" s="3">
        <v>171.1</v>
      </c>
      <c r="L13" s="3">
        <v>120</v>
      </c>
      <c r="M13" s="3">
        <v>209.7</v>
      </c>
      <c r="N13" s="3">
        <v>172.3</v>
      </c>
      <c r="O13" s="3">
        <v>193</v>
      </c>
      <c r="P13" s="3">
        <v>177</v>
      </c>
      <c r="Q13" s="3">
        <v>2279.1999999999998</v>
      </c>
      <c r="R13" s="3">
        <v>199.5</v>
      </c>
      <c r="S13" s="3">
        <v>186.1</v>
      </c>
      <c r="T13" s="3">
        <v>178.7</v>
      </c>
      <c r="U13" s="3">
        <v>185.1</v>
      </c>
      <c r="V13" s="3">
        <v>549.9</v>
      </c>
      <c r="W13">
        <v>173.5</v>
      </c>
      <c r="X13" s="3">
        <v>173.5</v>
      </c>
      <c r="Y13" s="3">
        <v>181.9</v>
      </c>
      <c r="Z13" s="3">
        <v>174.2</v>
      </c>
      <c r="AA13" s="3">
        <v>184.4</v>
      </c>
      <c r="AB13" s="3">
        <v>164.2</v>
      </c>
      <c r="AC13" s="3">
        <v>170.3</v>
      </c>
      <c r="AD13" s="3">
        <v>175</v>
      </c>
      <c r="AE13" s="3">
        <v>181</v>
      </c>
      <c r="AF13" s="3">
        <v>174.1</v>
      </c>
      <c r="AG13" s="3">
        <v>863.80000000000007</v>
      </c>
      <c r="AH13" s="3">
        <v>177.2</v>
      </c>
      <c r="AI13" s="10" t="str">
        <f t="shared" si="0"/>
        <v>2023 March</v>
      </c>
    </row>
    <row r="14" spans="1:35">
      <c r="A14" t="s">
        <v>34</v>
      </c>
      <c r="B14">
        <v>2023</v>
      </c>
      <c r="C14" t="s">
        <v>31</v>
      </c>
      <c r="D14" s="3">
        <v>173.8</v>
      </c>
      <c r="E14" s="3">
        <v>210.7</v>
      </c>
      <c r="F14" s="3">
        <v>194.5</v>
      </c>
      <c r="G14" s="3">
        <v>174.6</v>
      </c>
      <c r="H14" s="3">
        <v>187.2</v>
      </c>
      <c r="I14" s="3">
        <v>158.30000000000001</v>
      </c>
      <c r="J14" s="3">
        <v>153.9</v>
      </c>
      <c r="K14" s="3">
        <v>170.9</v>
      </c>
      <c r="L14" s="3">
        <v>121.1</v>
      </c>
      <c r="M14" s="3">
        <v>208.4</v>
      </c>
      <c r="N14" s="3">
        <v>171.4</v>
      </c>
      <c r="O14" s="3">
        <v>191.2</v>
      </c>
      <c r="P14" s="3">
        <v>176.7</v>
      </c>
      <c r="Q14" s="3">
        <v>2292.6999999999998</v>
      </c>
      <c r="R14" s="3">
        <v>198.2</v>
      </c>
      <c r="S14" s="3">
        <v>184.9</v>
      </c>
      <c r="T14" s="3">
        <v>177.6</v>
      </c>
      <c r="U14" s="3">
        <v>183.8</v>
      </c>
      <c r="V14" s="3">
        <v>546.29999999999995</v>
      </c>
      <c r="W14">
        <v>172.1</v>
      </c>
      <c r="X14" s="3">
        <v>172.1</v>
      </c>
      <c r="Y14" s="3">
        <v>182</v>
      </c>
      <c r="Z14" s="3">
        <v>172.9</v>
      </c>
      <c r="AA14" s="3">
        <v>182.3</v>
      </c>
      <c r="AB14" s="3">
        <v>163.6</v>
      </c>
      <c r="AC14" s="3">
        <v>169.5</v>
      </c>
      <c r="AD14" s="3">
        <v>174.3</v>
      </c>
      <c r="AE14" s="3">
        <v>178.6</v>
      </c>
      <c r="AF14" s="3">
        <v>172.8</v>
      </c>
      <c r="AG14" s="3">
        <v>857.40000000000009</v>
      </c>
      <c r="AH14" s="3">
        <v>176.5</v>
      </c>
      <c r="AI14" s="10" t="str">
        <f t="shared" si="0"/>
        <v>2023 January</v>
      </c>
    </row>
    <row r="15" spans="1:35">
      <c r="A15" t="s">
        <v>34</v>
      </c>
      <c r="B15">
        <v>2023</v>
      </c>
      <c r="C15" t="s">
        <v>35</v>
      </c>
      <c r="D15" s="3">
        <v>174.4</v>
      </c>
      <c r="E15" s="3">
        <v>207.7</v>
      </c>
      <c r="F15" s="3">
        <v>175.2</v>
      </c>
      <c r="G15" s="3">
        <v>177.3</v>
      </c>
      <c r="H15" s="3">
        <v>179.3</v>
      </c>
      <c r="I15" s="3">
        <v>169.5</v>
      </c>
      <c r="J15" s="3">
        <v>152.69999999999999</v>
      </c>
      <c r="K15" s="3">
        <v>171</v>
      </c>
      <c r="L15" s="3">
        <v>120</v>
      </c>
      <c r="M15" s="3">
        <v>209.7</v>
      </c>
      <c r="N15" s="3">
        <v>172.3</v>
      </c>
      <c r="O15" s="3">
        <v>193</v>
      </c>
      <c r="P15" s="3">
        <v>177</v>
      </c>
      <c r="Q15" s="3">
        <v>2279.1</v>
      </c>
      <c r="R15" s="3">
        <v>199.5</v>
      </c>
      <c r="S15" s="3">
        <v>186.2</v>
      </c>
      <c r="T15" s="3">
        <v>178.7</v>
      </c>
      <c r="U15" s="3">
        <v>185.1</v>
      </c>
      <c r="V15" s="3">
        <v>550</v>
      </c>
      <c r="W15">
        <v>173.5</v>
      </c>
      <c r="X15" s="3">
        <v>173.5</v>
      </c>
      <c r="Y15" s="3">
        <v>182.1</v>
      </c>
      <c r="Z15" s="3">
        <v>174.2</v>
      </c>
      <c r="AA15" s="3">
        <v>184.4</v>
      </c>
      <c r="AB15" s="3">
        <v>164.2</v>
      </c>
      <c r="AC15" s="3">
        <v>170.3</v>
      </c>
      <c r="AD15" s="3">
        <v>175</v>
      </c>
      <c r="AE15" s="3">
        <v>181</v>
      </c>
      <c r="AF15" s="3">
        <v>174.1</v>
      </c>
      <c r="AG15" s="3">
        <v>863.80000000000007</v>
      </c>
      <c r="AH15" s="3">
        <v>177.2</v>
      </c>
      <c r="AI15" s="10" t="str">
        <f t="shared" si="0"/>
        <v>2023 February</v>
      </c>
    </row>
    <row r="16" spans="1:35">
      <c r="A16" t="s">
        <v>34</v>
      </c>
      <c r="B16">
        <v>2023</v>
      </c>
      <c r="C16" t="s">
        <v>37</v>
      </c>
      <c r="D16" s="3">
        <v>173.8</v>
      </c>
      <c r="E16" s="3">
        <v>209.3</v>
      </c>
      <c r="F16" s="3">
        <v>169.6</v>
      </c>
      <c r="G16" s="3">
        <v>178.4</v>
      </c>
      <c r="H16" s="3">
        <v>174.9</v>
      </c>
      <c r="I16" s="3">
        <v>176.3</v>
      </c>
      <c r="J16" s="3">
        <v>155.4</v>
      </c>
      <c r="K16" s="3">
        <v>173.4</v>
      </c>
      <c r="L16" s="3">
        <v>121.3</v>
      </c>
      <c r="M16" s="3">
        <v>212.9</v>
      </c>
      <c r="N16" s="3">
        <v>172.9</v>
      </c>
      <c r="O16" s="3">
        <v>193.5</v>
      </c>
      <c r="P16" s="3">
        <v>177.9</v>
      </c>
      <c r="Q16" s="3">
        <v>2289.6000000000004</v>
      </c>
      <c r="R16" s="3">
        <v>200.6</v>
      </c>
      <c r="S16" s="3">
        <v>186.9</v>
      </c>
      <c r="T16" s="3">
        <v>179.2</v>
      </c>
      <c r="U16" s="3">
        <v>185.7</v>
      </c>
      <c r="V16" s="3">
        <v>551.79999999999995</v>
      </c>
      <c r="W16">
        <v>175.2</v>
      </c>
      <c r="X16" s="3">
        <v>175.2</v>
      </c>
      <c r="Y16" s="3">
        <v>181.7</v>
      </c>
      <c r="Z16" s="3">
        <v>174.6</v>
      </c>
      <c r="AA16" s="3">
        <v>185</v>
      </c>
      <c r="AB16" s="3">
        <v>164.5</v>
      </c>
      <c r="AC16" s="3">
        <v>170.7</v>
      </c>
      <c r="AD16" s="3">
        <v>176.4</v>
      </c>
      <c r="AE16" s="3">
        <v>184</v>
      </c>
      <c r="AF16" s="3">
        <v>175</v>
      </c>
      <c r="AG16" s="3">
        <v>868.8</v>
      </c>
      <c r="AH16" s="3">
        <v>178.1</v>
      </c>
      <c r="AI16" s="10" t="str">
        <f t="shared" si="0"/>
        <v>2023 April</v>
      </c>
    </row>
    <row r="17" spans="1:35">
      <c r="A17" t="s">
        <v>30</v>
      </c>
      <c r="B17">
        <v>2022</v>
      </c>
      <c r="C17" t="s">
        <v>42</v>
      </c>
      <c r="D17" s="3">
        <v>162.9</v>
      </c>
      <c r="E17" s="3">
        <v>206.7</v>
      </c>
      <c r="F17" s="3">
        <v>169</v>
      </c>
      <c r="G17" s="3">
        <v>169.5</v>
      </c>
      <c r="H17" s="3">
        <v>194.1</v>
      </c>
      <c r="I17" s="3">
        <v>164.1</v>
      </c>
      <c r="J17" s="3">
        <v>176.9</v>
      </c>
      <c r="K17" s="3">
        <v>169</v>
      </c>
      <c r="L17" s="3">
        <v>120.8</v>
      </c>
      <c r="M17" s="3">
        <v>199.1</v>
      </c>
      <c r="N17" s="3">
        <v>175.4</v>
      </c>
      <c r="O17" s="3">
        <v>184.8</v>
      </c>
      <c r="P17" s="3">
        <v>175.5</v>
      </c>
      <c r="Q17" s="3">
        <v>2267.8000000000002</v>
      </c>
      <c r="R17" s="3">
        <v>194.5</v>
      </c>
      <c r="S17" s="3">
        <v>184.7</v>
      </c>
      <c r="T17" s="3">
        <v>183.3</v>
      </c>
      <c r="U17" s="3">
        <v>184.5</v>
      </c>
      <c r="V17" s="3">
        <v>552.5</v>
      </c>
      <c r="W17" t="s">
        <v>32</v>
      </c>
      <c r="X17" s="3">
        <v>168</v>
      </c>
      <c r="Y17" s="3">
        <v>179.7</v>
      </c>
      <c r="Z17" s="3">
        <v>173.6</v>
      </c>
      <c r="AA17" s="3">
        <v>180.2</v>
      </c>
      <c r="AB17" s="3">
        <v>166.9</v>
      </c>
      <c r="AC17" s="3">
        <v>170</v>
      </c>
      <c r="AD17" s="3">
        <v>176.2</v>
      </c>
      <c r="AE17" s="3">
        <v>170.8</v>
      </c>
      <c r="AF17" s="3">
        <v>173.1</v>
      </c>
      <c r="AG17" s="3">
        <v>854.4</v>
      </c>
      <c r="AH17" s="3">
        <v>176.4</v>
      </c>
      <c r="AI17" s="10" t="str">
        <f t="shared" si="0"/>
        <v>2022 September</v>
      </c>
    </row>
    <row r="18" spans="1:35">
      <c r="A18" t="s">
        <v>33</v>
      </c>
      <c r="B18">
        <v>2022</v>
      </c>
      <c r="C18" t="s">
        <v>42</v>
      </c>
      <c r="D18" s="3">
        <v>164.9</v>
      </c>
      <c r="E18" s="3">
        <v>213.7</v>
      </c>
      <c r="F18" s="3">
        <v>170.9</v>
      </c>
      <c r="G18" s="3">
        <v>170.1</v>
      </c>
      <c r="H18" s="3">
        <v>179.3</v>
      </c>
      <c r="I18" s="3">
        <v>167.5</v>
      </c>
      <c r="J18" s="3">
        <v>220.8</v>
      </c>
      <c r="K18" s="3">
        <v>169.2</v>
      </c>
      <c r="L18" s="3">
        <v>123.1</v>
      </c>
      <c r="M18" s="3">
        <v>193.6</v>
      </c>
      <c r="N18" s="3">
        <v>161.1</v>
      </c>
      <c r="O18" s="3">
        <v>190.4</v>
      </c>
      <c r="P18" s="3">
        <v>181.8</v>
      </c>
      <c r="Q18" s="3">
        <v>2306.4</v>
      </c>
      <c r="R18" s="3">
        <v>199.7</v>
      </c>
      <c r="S18" s="3">
        <v>175</v>
      </c>
      <c r="T18" s="3">
        <v>161.69999999999999</v>
      </c>
      <c r="U18" s="3">
        <v>173</v>
      </c>
      <c r="V18" s="3">
        <v>509.7</v>
      </c>
      <c r="W18">
        <v>169.5</v>
      </c>
      <c r="X18" s="3">
        <v>169.5</v>
      </c>
      <c r="Y18" s="3">
        <v>179.2</v>
      </c>
      <c r="Z18" s="3">
        <v>165</v>
      </c>
      <c r="AA18" s="3">
        <v>173.8</v>
      </c>
      <c r="AB18" s="3">
        <v>158.19999999999999</v>
      </c>
      <c r="AC18" s="3">
        <v>165.8</v>
      </c>
      <c r="AD18" s="3">
        <v>170.9</v>
      </c>
      <c r="AE18" s="3">
        <v>171.1</v>
      </c>
      <c r="AF18" s="3">
        <v>166.1</v>
      </c>
      <c r="AG18" s="3">
        <v>826.2</v>
      </c>
      <c r="AH18" s="3">
        <v>174.1</v>
      </c>
      <c r="AI18" s="10" t="str">
        <f t="shared" si="0"/>
        <v>2022 September</v>
      </c>
    </row>
    <row r="19" spans="1:35">
      <c r="A19" t="s">
        <v>30</v>
      </c>
      <c r="B19">
        <v>2022</v>
      </c>
      <c r="C19" t="s">
        <v>43</v>
      </c>
      <c r="D19" s="3">
        <v>164.7</v>
      </c>
      <c r="E19" s="3">
        <v>208.8</v>
      </c>
      <c r="F19" s="3">
        <v>170.3</v>
      </c>
      <c r="G19" s="3">
        <v>170.9</v>
      </c>
      <c r="H19" s="3">
        <v>191.6</v>
      </c>
      <c r="I19" s="3">
        <v>162.19999999999999</v>
      </c>
      <c r="J19" s="3">
        <v>184.8</v>
      </c>
      <c r="K19" s="3">
        <v>169.7</v>
      </c>
      <c r="L19" s="3">
        <v>121.1</v>
      </c>
      <c r="M19" s="3">
        <v>201.6</v>
      </c>
      <c r="N19" s="3">
        <v>175.8</v>
      </c>
      <c r="O19" s="3">
        <v>185.6</v>
      </c>
      <c r="P19" s="3">
        <v>177.4</v>
      </c>
      <c r="Q19" s="3">
        <v>2284.5</v>
      </c>
      <c r="R19" s="3">
        <v>194.9</v>
      </c>
      <c r="S19" s="3">
        <v>186.1</v>
      </c>
      <c r="T19" s="3">
        <v>184.4</v>
      </c>
      <c r="U19" s="3">
        <v>185.9</v>
      </c>
      <c r="V19" s="3">
        <v>556.4</v>
      </c>
      <c r="W19" t="s">
        <v>32</v>
      </c>
      <c r="X19" s="3">
        <v>168</v>
      </c>
      <c r="Y19" s="3">
        <v>180.8</v>
      </c>
      <c r="Z19" s="3">
        <v>174.4</v>
      </c>
      <c r="AA19" s="3">
        <v>181.2</v>
      </c>
      <c r="AB19" s="3">
        <v>167.4</v>
      </c>
      <c r="AC19" s="3">
        <v>170.6</v>
      </c>
      <c r="AD19" s="3">
        <v>176.5</v>
      </c>
      <c r="AE19" s="3">
        <v>172</v>
      </c>
      <c r="AF19" s="3">
        <v>173.9</v>
      </c>
      <c r="AG19" s="3">
        <v>858.3</v>
      </c>
      <c r="AH19" s="3">
        <v>177.9</v>
      </c>
      <c r="AI19" s="10" t="str">
        <f t="shared" si="0"/>
        <v>2022 October</v>
      </c>
    </row>
    <row r="20" spans="1:35">
      <c r="A20" t="s">
        <v>33</v>
      </c>
      <c r="B20">
        <v>2022</v>
      </c>
      <c r="C20" t="s">
        <v>43</v>
      </c>
      <c r="D20" s="3">
        <v>166.4</v>
      </c>
      <c r="E20" s="3">
        <v>214.9</v>
      </c>
      <c r="F20" s="3">
        <v>171.9</v>
      </c>
      <c r="G20" s="3">
        <v>171</v>
      </c>
      <c r="H20" s="3">
        <v>177.7</v>
      </c>
      <c r="I20" s="3">
        <v>165.7</v>
      </c>
      <c r="J20" s="3">
        <v>228.6</v>
      </c>
      <c r="K20" s="3">
        <v>169.9</v>
      </c>
      <c r="L20" s="3">
        <v>123.4</v>
      </c>
      <c r="M20" s="3">
        <v>196.4</v>
      </c>
      <c r="N20" s="3">
        <v>161.6</v>
      </c>
      <c r="O20" s="3">
        <v>191.5</v>
      </c>
      <c r="P20" s="3">
        <v>183.3</v>
      </c>
      <c r="Q20" s="3">
        <v>2322.3000000000002</v>
      </c>
      <c r="R20" s="3">
        <v>200.1</v>
      </c>
      <c r="S20" s="3">
        <v>175.5</v>
      </c>
      <c r="T20" s="3">
        <v>162.6</v>
      </c>
      <c r="U20" s="3">
        <v>173.6</v>
      </c>
      <c r="V20" s="3">
        <v>511.70000000000005</v>
      </c>
      <c r="W20">
        <v>171.2</v>
      </c>
      <c r="X20" s="3">
        <v>171.2</v>
      </c>
      <c r="Y20" s="3">
        <v>180</v>
      </c>
      <c r="Z20" s="3">
        <v>166</v>
      </c>
      <c r="AA20" s="3">
        <v>174.7</v>
      </c>
      <c r="AB20" s="3">
        <v>158.80000000000001</v>
      </c>
      <c r="AC20" s="3">
        <v>166.3</v>
      </c>
      <c r="AD20" s="3">
        <v>171.2</v>
      </c>
      <c r="AE20" s="3">
        <v>172.3</v>
      </c>
      <c r="AF20" s="3">
        <v>166.8</v>
      </c>
      <c r="AG20" s="3">
        <v>830.2</v>
      </c>
      <c r="AH20" s="3">
        <v>175.3</v>
      </c>
      <c r="AI20" s="10" t="str">
        <f t="shared" si="0"/>
        <v>2022 October</v>
      </c>
    </row>
    <row r="21" spans="1:35">
      <c r="A21" t="s">
        <v>30</v>
      </c>
      <c r="B21">
        <v>2022</v>
      </c>
      <c r="C21" t="s">
        <v>45</v>
      </c>
      <c r="D21" s="3">
        <v>166.9</v>
      </c>
      <c r="E21" s="3">
        <v>207.2</v>
      </c>
      <c r="F21" s="3">
        <v>180.2</v>
      </c>
      <c r="G21" s="3">
        <v>172.3</v>
      </c>
      <c r="H21" s="3">
        <v>194</v>
      </c>
      <c r="I21" s="3">
        <v>159.1</v>
      </c>
      <c r="J21" s="3">
        <v>171.6</v>
      </c>
      <c r="K21" s="3">
        <v>170.2</v>
      </c>
      <c r="L21" s="3">
        <v>121.5</v>
      </c>
      <c r="M21" s="3">
        <v>204.8</v>
      </c>
      <c r="N21" s="3">
        <v>176.4</v>
      </c>
      <c r="O21" s="3">
        <v>186.9</v>
      </c>
      <c r="P21" s="3">
        <v>176.6</v>
      </c>
      <c r="Q21" s="3">
        <v>2287.6999999999998</v>
      </c>
      <c r="R21" s="3">
        <v>195.5</v>
      </c>
      <c r="S21" s="3">
        <v>187.2</v>
      </c>
      <c r="T21" s="3">
        <v>185.2</v>
      </c>
      <c r="U21" s="3">
        <v>186.9</v>
      </c>
      <c r="V21" s="3">
        <v>559.29999999999995</v>
      </c>
      <c r="W21" t="s">
        <v>32</v>
      </c>
      <c r="X21" s="3">
        <v>168</v>
      </c>
      <c r="Y21" s="3">
        <v>181.9</v>
      </c>
      <c r="Z21" s="3">
        <v>175.5</v>
      </c>
      <c r="AA21" s="3">
        <v>182.3</v>
      </c>
      <c r="AB21" s="3">
        <v>167.5</v>
      </c>
      <c r="AC21" s="3">
        <v>170.8</v>
      </c>
      <c r="AD21" s="3">
        <v>176.9</v>
      </c>
      <c r="AE21" s="3">
        <v>173.4</v>
      </c>
      <c r="AF21" s="3">
        <v>174.6</v>
      </c>
      <c r="AG21" s="3">
        <v>861.8</v>
      </c>
      <c r="AH21" s="3">
        <v>177.8</v>
      </c>
      <c r="AI21" s="10" t="str">
        <f t="shared" si="0"/>
        <v>2022 November</v>
      </c>
    </row>
    <row r="22" spans="1:35">
      <c r="A22" t="s">
        <v>33</v>
      </c>
      <c r="B22">
        <v>2022</v>
      </c>
      <c r="C22" t="s">
        <v>45</v>
      </c>
      <c r="D22" s="3">
        <v>168.4</v>
      </c>
      <c r="E22" s="3">
        <v>213.4</v>
      </c>
      <c r="F22" s="3">
        <v>183.2</v>
      </c>
      <c r="G22" s="3">
        <v>172.3</v>
      </c>
      <c r="H22" s="3">
        <v>180</v>
      </c>
      <c r="I22" s="3">
        <v>162.6</v>
      </c>
      <c r="J22" s="3">
        <v>205.5</v>
      </c>
      <c r="K22" s="3">
        <v>171</v>
      </c>
      <c r="L22" s="3">
        <v>123.4</v>
      </c>
      <c r="M22" s="3">
        <v>198.8</v>
      </c>
      <c r="N22" s="3">
        <v>162.1</v>
      </c>
      <c r="O22" s="3">
        <v>192.4</v>
      </c>
      <c r="P22" s="3">
        <v>181.3</v>
      </c>
      <c r="Q22" s="3">
        <v>2314.4</v>
      </c>
      <c r="R22" s="3">
        <v>200.6</v>
      </c>
      <c r="S22" s="3">
        <v>176.7</v>
      </c>
      <c r="T22" s="3">
        <v>163.5</v>
      </c>
      <c r="U22" s="3">
        <v>174.7</v>
      </c>
      <c r="V22" s="3">
        <v>514.9</v>
      </c>
      <c r="W22">
        <v>171.8</v>
      </c>
      <c r="X22" s="3">
        <v>171.8</v>
      </c>
      <c r="Y22" s="3">
        <v>180.3</v>
      </c>
      <c r="Z22" s="3">
        <v>166.9</v>
      </c>
      <c r="AA22" s="3">
        <v>175.8</v>
      </c>
      <c r="AB22" s="3">
        <v>158.9</v>
      </c>
      <c r="AC22" s="3">
        <v>166.7</v>
      </c>
      <c r="AD22" s="3">
        <v>171.5</v>
      </c>
      <c r="AE22" s="3">
        <v>173.8</v>
      </c>
      <c r="AF22" s="3">
        <v>167.4</v>
      </c>
      <c r="AG22" s="3">
        <v>833.69999999999993</v>
      </c>
      <c r="AH22" s="3">
        <v>174.1</v>
      </c>
      <c r="AI22" s="10" t="str">
        <f t="shared" si="0"/>
        <v>2022 November</v>
      </c>
    </row>
    <row r="23" spans="1:35">
      <c r="A23" t="s">
        <v>30</v>
      </c>
      <c r="B23">
        <v>2022</v>
      </c>
      <c r="C23" t="s">
        <v>38</v>
      </c>
      <c r="D23" s="3">
        <v>152.9</v>
      </c>
      <c r="E23" s="3">
        <v>214.7</v>
      </c>
      <c r="F23" s="3">
        <v>161.4</v>
      </c>
      <c r="G23" s="3">
        <v>164.6</v>
      </c>
      <c r="H23" s="3">
        <v>209.9</v>
      </c>
      <c r="I23" s="3">
        <v>168</v>
      </c>
      <c r="J23" s="3">
        <v>160.4</v>
      </c>
      <c r="K23" s="3">
        <v>165</v>
      </c>
      <c r="L23" s="3">
        <v>118.9</v>
      </c>
      <c r="M23" s="3">
        <v>186.6</v>
      </c>
      <c r="N23" s="3">
        <v>173.2</v>
      </c>
      <c r="O23" s="3">
        <v>180.4</v>
      </c>
      <c r="P23" s="3">
        <v>170.8</v>
      </c>
      <c r="Q23" s="3">
        <v>2226.8000000000002</v>
      </c>
      <c r="R23" s="3">
        <v>192.9</v>
      </c>
      <c r="S23" s="3">
        <v>179.3</v>
      </c>
      <c r="T23" s="3">
        <v>177.2</v>
      </c>
      <c r="U23" s="3">
        <v>179</v>
      </c>
      <c r="V23" s="3">
        <v>535.5</v>
      </c>
      <c r="W23" t="s">
        <v>32</v>
      </c>
      <c r="X23" s="3">
        <v>168</v>
      </c>
      <c r="Y23" s="3">
        <v>175.3</v>
      </c>
      <c r="Z23" s="3">
        <v>168.9</v>
      </c>
      <c r="AA23" s="3">
        <v>177.7</v>
      </c>
      <c r="AB23" s="3">
        <v>167.1</v>
      </c>
      <c r="AC23" s="3">
        <v>167.6</v>
      </c>
      <c r="AD23" s="3">
        <v>171.8</v>
      </c>
      <c r="AE23" s="3">
        <v>168.5</v>
      </c>
      <c r="AF23" s="3">
        <v>170.9</v>
      </c>
      <c r="AG23" s="3">
        <v>843</v>
      </c>
      <c r="AH23" s="3">
        <v>172.5</v>
      </c>
      <c r="AI23" s="10" t="str">
        <f t="shared" si="0"/>
        <v>2022 May</v>
      </c>
    </row>
    <row r="24" spans="1:35">
      <c r="A24" t="s">
        <v>33</v>
      </c>
      <c r="B24">
        <v>2022</v>
      </c>
      <c r="C24" t="s">
        <v>38</v>
      </c>
      <c r="D24" s="3">
        <v>156.69999999999999</v>
      </c>
      <c r="E24" s="3">
        <v>221.2</v>
      </c>
      <c r="F24" s="3">
        <v>164.1</v>
      </c>
      <c r="G24" s="3">
        <v>165.4</v>
      </c>
      <c r="H24" s="3">
        <v>189.5</v>
      </c>
      <c r="I24" s="3">
        <v>174.5</v>
      </c>
      <c r="J24" s="3">
        <v>203.2</v>
      </c>
      <c r="K24" s="3">
        <v>164.1</v>
      </c>
      <c r="L24" s="3">
        <v>121.2</v>
      </c>
      <c r="M24" s="3">
        <v>181.4</v>
      </c>
      <c r="N24" s="3">
        <v>158.5</v>
      </c>
      <c r="O24" s="3">
        <v>184.9</v>
      </c>
      <c r="P24" s="3">
        <v>177.5</v>
      </c>
      <c r="Q24" s="3">
        <v>2262.2000000000003</v>
      </c>
      <c r="R24" s="3">
        <v>197.5</v>
      </c>
      <c r="S24" s="3">
        <v>170</v>
      </c>
      <c r="T24" s="3">
        <v>155.9</v>
      </c>
      <c r="U24" s="3">
        <v>167.8</v>
      </c>
      <c r="V24" s="3">
        <v>493.7</v>
      </c>
      <c r="W24">
        <v>167.5</v>
      </c>
      <c r="X24" s="3">
        <v>167.5</v>
      </c>
      <c r="Y24" s="3">
        <v>173.5</v>
      </c>
      <c r="Z24" s="3">
        <v>161.1</v>
      </c>
      <c r="AA24" s="3">
        <v>170.1</v>
      </c>
      <c r="AB24" s="3">
        <v>159.4</v>
      </c>
      <c r="AC24" s="3">
        <v>163.19999999999999</v>
      </c>
      <c r="AD24" s="3">
        <v>165.2</v>
      </c>
      <c r="AE24" s="3">
        <v>168.2</v>
      </c>
      <c r="AF24" s="3">
        <v>163.80000000000001</v>
      </c>
      <c r="AG24" s="3">
        <v>815.7</v>
      </c>
      <c r="AH24" s="3">
        <v>170.8</v>
      </c>
      <c r="AI24" s="10" t="str">
        <f t="shared" si="0"/>
        <v>2022 May</v>
      </c>
    </row>
    <row r="25" spans="1:35">
      <c r="A25" t="s">
        <v>30</v>
      </c>
      <c r="B25">
        <v>2022</v>
      </c>
      <c r="C25" t="s">
        <v>36</v>
      </c>
      <c r="D25" s="3">
        <v>150.19999999999999</v>
      </c>
      <c r="E25" s="3">
        <v>208</v>
      </c>
      <c r="F25" s="3">
        <v>167.9</v>
      </c>
      <c r="G25" s="3">
        <v>162</v>
      </c>
      <c r="H25" s="3">
        <v>203.1</v>
      </c>
      <c r="I25" s="3">
        <v>155.9</v>
      </c>
      <c r="J25" s="3">
        <v>155.80000000000001</v>
      </c>
      <c r="K25" s="3">
        <v>164.2</v>
      </c>
      <c r="L25" s="3">
        <v>118.1</v>
      </c>
      <c r="M25" s="3">
        <v>178.7</v>
      </c>
      <c r="N25" s="3">
        <v>171.2</v>
      </c>
      <c r="O25" s="3">
        <v>177.4</v>
      </c>
      <c r="P25" s="3">
        <v>166.6</v>
      </c>
      <c r="Q25" s="3">
        <v>2179.1000000000004</v>
      </c>
      <c r="R25" s="3">
        <v>192.3</v>
      </c>
      <c r="S25" s="3">
        <v>175.4</v>
      </c>
      <c r="T25" s="3">
        <v>173.2</v>
      </c>
      <c r="U25" s="3">
        <v>175.1</v>
      </c>
      <c r="V25" s="3">
        <v>523.70000000000005</v>
      </c>
      <c r="W25" t="s">
        <v>32</v>
      </c>
      <c r="X25" s="3">
        <v>168</v>
      </c>
      <c r="Y25" s="3">
        <v>168.9</v>
      </c>
      <c r="Z25" s="3">
        <v>166.5</v>
      </c>
      <c r="AA25" s="3">
        <v>176</v>
      </c>
      <c r="AB25" s="3">
        <v>162</v>
      </c>
      <c r="AC25" s="3">
        <v>166.6</v>
      </c>
      <c r="AD25" s="3">
        <v>170.6</v>
      </c>
      <c r="AE25" s="3">
        <v>167.4</v>
      </c>
      <c r="AF25" s="3">
        <v>168.3</v>
      </c>
      <c r="AG25" s="3">
        <v>830.8</v>
      </c>
      <c r="AH25" s="3">
        <v>168.7</v>
      </c>
      <c r="AI25" s="10" t="str">
        <f t="shared" si="0"/>
        <v>2022 March</v>
      </c>
    </row>
    <row r="26" spans="1:35">
      <c r="A26" t="s">
        <v>33</v>
      </c>
      <c r="B26">
        <v>2022</v>
      </c>
      <c r="C26" t="s">
        <v>36</v>
      </c>
      <c r="D26" s="3">
        <v>153.69999999999999</v>
      </c>
      <c r="E26" s="3">
        <v>215.8</v>
      </c>
      <c r="F26" s="3">
        <v>167.7</v>
      </c>
      <c r="G26" s="3">
        <v>162.6</v>
      </c>
      <c r="H26" s="3">
        <v>180</v>
      </c>
      <c r="I26" s="3">
        <v>159.6</v>
      </c>
      <c r="J26" s="3">
        <v>188.4</v>
      </c>
      <c r="K26" s="3">
        <v>163.4</v>
      </c>
      <c r="L26" s="3">
        <v>120.3</v>
      </c>
      <c r="M26" s="3">
        <v>174.7</v>
      </c>
      <c r="N26" s="3">
        <v>157.1</v>
      </c>
      <c r="O26" s="3">
        <v>181.5</v>
      </c>
      <c r="P26" s="3">
        <v>171.5</v>
      </c>
      <c r="Q26" s="3">
        <v>2196.3000000000002</v>
      </c>
      <c r="R26" s="3">
        <v>197.5</v>
      </c>
      <c r="S26" s="3">
        <v>167.1</v>
      </c>
      <c r="T26" s="3">
        <v>152.6</v>
      </c>
      <c r="U26" s="3">
        <v>164.9</v>
      </c>
      <c r="V26" s="3">
        <v>484.6</v>
      </c>
      <c r="W26">
        <v>165.3</v>
      </c>
      <c r="X26" s="3">
        <v>165.3</v>
      </c>
      <c r="Y26" s="3">
        <v>164.5</v>
      </c>
      <c r="Z26" s="3">
        <v>158.6</v>
      </c>
      <c r="AA26" s="3">
        <v>168.2</v>
      </c>
      <c r="AB26" s="3">
        <v>154.19999999999999</v>
      </c>
      <c r="AC26" s="3">
        <v>160.80000000000001</v>
      </c>
      <c r="AD26" s="3">
        <v>162.69999999999999</v>
      </c>
      <c r="AE26" s="3">
        <v>166.8</v>
      </c>
      <c r="AF26" s="3">
        <v>160.6</v>
      </c>
      <c r="AG26" s="3">
        <v>801</v>
      </c>
      <c r="AH26" s="3">
        <v>166.5</v>
      </c>
      <c r="AI26" s="10" t="str">
        <f t="shared" si="0"/>
        <v>2022 March</v>
      </c>
    </row>
    <row r="27" spans="1:35">
      <c r="A27" t="s">
        <v>30</v>
      </c>
      <c r="B27">
        <v>2022</v>
      </c>
      <c r="C27" t="s">
        <v>39</v>
      </c>
      <c r="D27" s="3">
        <v>153.80000000000001</v>
      </c>
      <c r="E27" s="3">
        <v>217.2</v>
      </c>
      <c r="F27" s="3">
        <v>169.6</v>
      </c>
      <c r="G27" s="3">
        <v>165.4</v>
      </c>
      <c r="H27" s="3">
        <v>208.1</v>
      </c>
      <c r="I27" s="3">
        <v>165.8</v>
      </c>
      <c r="J27" s="3">
        <v>167.3</v>
      </c>
      <c r="K27" s="3">
        <v>164.6</v>
      </c>
      <c r="L27" s="3">
        <v>119.1</v>
      </c>
      <c r="M27" s="3">
        <v>188.9</v>
      </c>
      <c r="N27" s="3">
        <v>174.2</v>
      </c>
      <c r="O27" s="3">
        <v>181.9</v>
      </c>
      <c r="P27" s="3">
        <v>172.4</v>
      </c>
      <c r="Q27" s="3">
        <v>2248.3000000000002</v>
      </c>
      <c r="R27" s="3">
        <v>192.9</v>
      </c>
      <c r="S27" s="3">
        <v>180.7</v>
      </c>
      <c r="T27" s="3">
        <v>178.7</v>
      </c>
      <c r="U27" s="3">
        <v>180.4</v>
      </c>
      <c r="V27" s="3">
        <v>539.79999999999995</v>
      </c>
      <c r="W27" t="s">
        <v>32</v>
      </c>
      <c r="X27" s="3">
        <v>168</v>
      </c>
      <c r="Y27" s="3">
        <v>176.7</v>
      </c>
      <c r="Z27" s="3">
        <v>170.3</v>
      </c>
      <c r="AA27" s="3">
        <v>178.2</v>
      </c>
      <c r="AB27" s="3">
        <v>165.5</v>
      </c>
      <c r="AC27" s="3">
        <v>168</v>
      </c>
      <c r="AD27" s="3">
        <v>172.6</v>
      </c>
      <c r="AE27" s="3">
        <v>169.5</v>
      </c>
      <c r="AF27" s="3">
        <v>171</v>
      </c>
      <c r="AG27" s="3">
        <v>844.3</v>
      </c>
      <c r="AH27" s="3">
        <v>173.6</v>
      </c>
      <c r="AI27" s="10" t="str">
        <f t="shared" si="0"/>
        <v>2022 June</v>
      </c>
    </row>
    <row r="28" spans="1:35">
      <c r="A28" t="s">
        <v>33</v>
      </c>
      <c r="B28">
        <v>2022</v>
      </c>
      <c r="C28" t="s">
        <v>39</v>
      </c>
      <c r="D28" s="3">
        <v>157.5</v>
      </c>
      <c r="E28" s="3">
        <v>223.4</v>
      </c>
      <c r="F28" s="3">
        <v>172.8</v>
      </c>
      <c r="G28" s="3">
        <v>166.4</v>
      </c>
      <c r="H28" s="3">
        <v>188.6</v>
      </c>
      <c r="I28" s="3">
        <v>174.1</v>
      </c>
      <c r="J28" s="3">
        <v>211.5</v>
      </c>
      <c r="K28" s="3">
        <v>163.6</v>
      </c>
      <c r="L28" s="3">
        <v>121.4</v>
      </c>
      <c r="M28" s="3">
        <v>183.5</v>
      </c>
      <c r="N28" s="3">
        <v>159.1</v>
      </c>
      <c r="O28" s="3">
        <v>186.3</v>
      </c>
      <c r="P28" s="3">
        <v>179.3</v>
      </c>
      <c r="Q28" s="3">
        <v>2287.5</v>
      </c>
      <c r="R28" s="3">
        <v>198.3</v>
      </c>
      <c r="S28" s="3">
        <v>171.6</v>
      </c>
      <c r="T28" s="3">
        <v>157.4</v>
      </c>
      <c r="U28" s="3">
        <v>169.4</v>
      </c>
      <c r="V28" s="3">
        <v>498.4</v>
      </c>
      <c r="W28">
        <v>166.8</v>
      </c>
      <c r="X28" s="3">
        <v>166.8</v>
      </c>
      <c r="Y28" s="3">
        <v>174.9</v>
      </c>
      <c r="Z28" s="3">
        <v>162.1</v>
      </c>
      <c r="AA28" s="3">
        <v>170.9</v>
      </c>
      <c r="AB28" s="3">
        <v>157.19999999999999</v>
      </c>
      <c r="AC28" s="3">
        <v>164.1</v>
      </c>
      <c r="AD28" s="3">
        <v>166.5</v>
      </c>
      <c r="AE28" s="3">
        <v>169.2</v>
      </c>
      <c r="AF28" s="3">
        <v>163.80000000000001</v>
      </c>
      <c r="AG28" s="3">
        <v>816.39999999999986</v>
      </c>
      <c r="AH28" s="3">
        <v>171.4</v>
      </c>
      <c r="AI28" s="10" t="str">
        <f t="shared" si="0"/>
        <v>2022 June</v>
      </c>
    </row>
    <row r="29" spans="1:35">
      <c r="A29" t="s">
        <v>30</v>
      </c>
      <c r="B29">
        <v>2022</v>
      </c>
      <c r="C29" t="s">
        <v>40</v>
      </c>
      <c r="D29" s="3">
        <v>155.19999999999999</v>
      </c>
      <c r="E29" s="3">
        <v>210.8</v>
      </c>
      <c r="F29" s="3">
        <v>174.3</v>
      </c>
      <c r="G29" s="3">
        <v>166.3</v>
      </c>
      <c r="H29" s="3">
        <v>202.2</v>
      </c>
      <c r="I29" s="3">
        <v>169.6</v>
      </c>
      <c r="J29" s="3">
        <v>168.6</v>
      </c>
      <c r="K29" s="3">
        <v>164.4</v>
      </c>
      <c r="L29" s="3">
        <v>119.2</v>
      </c>
      <c r="M29" s="3">
        <v>191.8</v>
      </c>
      <c r="N29" s="3">
        <v>174.5</v>
      </c>
      <c r="O29" s="3">
        <v>183.1</v>
      </c>
      <c r="P29" s="3">
        <v>172.5</v>
      </c>
      <c r="Q29" s="3">
        <v>2252.5</v>
      </c>
      <c r="R29" s="3">
        <v>193.2</v>
      </c>
      <c r="S29" s="3">
        <v>182</v>
      </c>
      <c r="T29" s="3">
        <v>180.3</v>
      </c>
      <c r="U29" s="3">
        <v>181.7</v>
      </c>
      <c r="V29" s="3">
        <v>544</v>
      </c>
      <c r="W29" t="s">
        <v>32</v>
      </c>
      <c r="X29" s="3">
        <v>168</v>
      </c>
      <c r="Y29" s="3">
        <v>179.6</v>
      </c>
      <c r="Z29" s="3">
        <v>171.3</v>
      </c>
      <c r="AA29" s="3">
        <v>178.8</v>
      </c>
      <c r="AB29" s="3">
        <v>166.3</v>
      </c>
      <c r="AC29" s="3">
        <v>168.6</v>
      </c>
      <c r="AD29" s="3">
        <v>174.7</v>
      </c>
      <c r="AE29" s="3">
        <v>169.7</v>
      </c>
      <c r="AF29" s="3">
        <v>171.8</v>
      </c>
      <c r="AG29" s="3">
        <v>847.7</v>
      </c>
      <c r="AH29" s="3">
        <v>174.3</v>
      </c>
      <c r="AI29" s="10" t="str">
        <f t="shared" si="0"/>
        <v>2022 July</v>
      </c>
    </row>
    <row r="30" spans="1:35">
      <c r="A30" t="s">
        <v>33</v>
      </c>
      <c r="B30">
        <v>2022</v>
      </c>
      <c r="C30" t="s">
        <v>40</v>
      </c>
      <c r="D30" s="3">
        <v>159.30000000000001</v>
      </c>
      <c r="E30" s="3">
        <v>217.1</v>
      </c>
      <c r="F30" s="3">
        <v>176.6</v>
      </c>
      <c r="G30" s="3">
        <v>167.1</v>
      </c>
      <c r="H30" s="3">
        <v>184.8</v>
      </c>
      <c r="I30" s="3">
        <v>179.5</v>
      </c>
      <c r="J30" s="3">
        <v>208.5</v>
      </c>
      <c r="K30" s="3">
        <v>164</v>
      </c>
      <c r="L30" s="3">
        <v>121.5</v>
      </c>
      <c r="M30" s="3">
        <v>186.3</v>
      </c>
      <c r="N30" s="3">
        <v>159.80000000000001</v>
      </c>
      <c r="O30" s="3">
        <v>187.7</v>
      </c>
      <c r="P30" s="3">
        <v>179.4</v>
      </c>
      <c r="Q30" s="3">
        <v>2291.6</v>
      </c>
      <c r="R30" s="3">
        <v>198.6</v>
      </c>
      <c r="S30" s="3">
        <v>172.7</v>
      </c>
      <c r="T30" s="3">
        <v>158.69999999999999</v>
      </c>
      <c r="U30" s="3">
        <v>170.6</v>
      </c>
      <c r="V30" s="3">
        <v>502</v>
      </c>
      <c r="W30">
        <v>167.8</v>
      </c>
      <c r="X30" s="3">
        <v>167.8</v>
      </c>
      <c r="Y30" s="3">
        <v>179.5</v>
      </c>
      <c r="Z30" s="3">
        <v>163.1</v>
      </c>
      <c r="AA30" s="3">
        <v>171.7</v>
      </c>
      <c r="AB30" s="3">
        <v>157.4</v>
      </c>
      <c r="AC30" s="3">
        <v>164.6</v>
      </c>
      <c r="AD30" s="3">
        <v>169.1</v>
      </c>
      <c r="AE30" s="3">
        <v>169.8</v>
      </c>
      <c r="AF30" s="3">
        <v>164.7</v>
      </c>
      <c r="AG30" s="3">
        <v>819.60000000000014</v>
      </c>
      <c r="AH30" s="3">
        <v>172.3</v>
      </c>
      <c r="AI30" s="10" t="str">
        <f t="shared" si="0"/>
        <v>2022 July</v>
      </c>
    </row>
    <row r="31" spans="1:35">
      <c r="A31" t="s">
        <v>30</v>
      </c>
      <c r="B31">
        <v>2022</v>
      </c>
      <c r="C31" t="s">
        <v>31</v>
      </c>
      <c r="D31" s="3">
        <v>148.30000000000001</v>
      </c>
      <c r="E31" s="3">
        <v>196.9</v>
      </c>
      <c r="F31" s="3">
        <v>178</v>
      </c>
      <c r="G31" s="3">
        <v>160.5</v>
      </c>
      <c r="H31" s="3">
        <v>192.6</v>
      </c>
      <c r="I31" s="3">
        <v>151.19999999999999</v>
      </c>
      <c r="J31" s="3">
        <v>159.19999999999999</v>
      </c>
      <c r="K31" s="3">
        <v>164</v>
      </c>
      <c r="L31" s="3">
        <v>119.3</v>
      </c>
      <c r="M31" s="3">
        <v>173.3</v>
      </c>
      <c r="N31" s="3">
        <v>169.8</v>
      </c>
      <c r="O31" s="3">
        <v>175.8</v>
      </c>
      <c r="P31" s="3">
        <v>164.1</v>
      </c>
      <c r="Q31" s="3">
        <v>2153</v>
      </c>
      <c r="R31" s="3">
        <v>190.7</v>
      </c>
      <c r="S31" s="3">
        <v>173.2</v>
      </c>
      <c r="T31" s="3">
        <v>169.3</v>
      </c>
      <c r="U31" s="3">
        <v>172.7</v>
      </c>
      <c r="V31" s="3">
        <v>515.20000000000005</v>
      </c>
      <c r="W31" t="s">
        <v>32</v>
      </c>
      <c r="X31" s="3">
        <v>168</v>
      </c>
      <c r="Y31" s="3">
        <v>165.8</v>
      </c>
      <c r="Z31" s="3">
        <v>164.9</v>
      </c>
      <c r="AA31" s="3">
        <v>174.7</v>
      </c>
      <c r="AB31" s="3">
        <v>160.80000000000001</v>
      </c>
      <c r="AC31" s="3">
        <v>164.9</v>
      </c>
      <c r="AD31" s="3">
        <v>169.9</v>
      </c>
      <c r="AE31" s="3">
        <v>163.19999999999999</v>
      </c>
      <c r="AF31" s="3">
        <v>166.6</v>
      </c>
      <c r="AG31" s="3">
        <v>820.4</v>
      </c>
      <c r="AH31" s="3">
        <v>166.4</v>
      </c>
      <c r="AI31" s="10" t="str">
        <f t="shared" si="0"/>
        <v>2022 January</v>
      </c>
    </row>
    <row r="32" spans="1:35">
      <c r="A32" t="s">
        <v>33</v>
      </c>
      <c r="B32">
        <v>2022</v>
      </c>
      <c r="C32" t="s">
        <v>31</v>
      </c>
      <c r="D32" s="3">
        <v>152.19999999999999</v>
      </c>
      <c r="E32" s="3">
        <v>202.1</v>
      </c>
      <c r="F32" s="3">
        <v>180.1</v>
      </c>
      <c r="G32" s="3">
        <v>160.4</v>
      </c>
      <c r="H32" s="3">
        <v>171</v>
      </c>
      <c r="I32" s="3">
        <v>156.5</v>
      </c>
      <c r="J32" s="3">
        <v>203.6</v>
      </c>
      <c r="K32" s="3">
        <v>163.80000000000001</v>
      </c>
      <c r="L32" s="3">
        <v>121.3</v>
      </c>
      <c r="M32" s="3">
        <v>169.8</v>
      </c>
      <c r="N32" s="3">
        <v>156.6</v>
      </c>
      <c r="O32" s="3">
        <v>179</v>
      </c>
      <c r="P32" s="3">
        <v>170.3</v>
      </c>
      <c r="Q32" s="3">
        <v>2186.6999999999998</v>
      </c>
      <c r="R32" s="3">
        <v>196.4</v>
      </c>
      <c r="S32" s="3">
        <v>164.7</v>
      </c>
      <c r="T32" s="3">
        <v>148.5</v>
      </c>
      <c r="U32" s="3">
        <v>162.19999999999999</v>
      </c>
      <c r="V32" s="3">
        <v>475.4</v>
      </c>
      <c r="W32">
        <v>164.5</v>
      </c>
      <c r="X32" s="3">
        <v>164.5</v>
      </c>
      <c r="Y32" s="3">
        <v>161.6</v>
      </c>
      <c r="Z32" s="3">
        <v>156.80000000000001</v>
      </c>
      <c r="AA32" s="3">
        <v>166.1</v>
      </c>
      <c r="AB32" s="3">
        <v>152.69999999999999</v>
      </c>
      <c r="AC32" s="3">
        <v>158.4</v>
      </c>
      <c r="AD32" s="3">
        <v>161</v>
      </c>
      <c r="AE32" s="3">
        <v>162.80000000000001</v>
      </c>
      <c r="AF32" s="3">
        <v>158.6</v>
      </c>
      <c r="AG32" s="3">
        <v>789.30000000000007</v>
      </c>
      <c r="AH32" s="3">
        <v>165</v>
      </c>
      <c r="AI32" s="10" t="str">
        <f t="shared" si="0"/>
        <v>2022 January</v>
      </c>
    </row>
    <row r="33" spans="1:35">
      <c r="A33" t="s">
        <v>30</v>
      </c>
      <c r="B33">
        <v>2022</v>
      </c>
      <c r="C33" t="s">
        <v>35</v>
      </c>
      <c r="D33" s="3">
        <v>148.80000000000001</v>
      </c>
      <c r="E33" s="3">
        <v>198.1</v>
      </c>
      <c r="F33" s="3">
        <v>175.5</v>
      </c>
      <c r="G33" s="3">
        <v>160.69999999999999</v>
      </c>
      <c r="H33" s="3">
        <v>192.6</v>
      </c>
      <c r="I33" s="3">
        <v>151.4</v>
      </c>
      <c r="J33" s="3">
        <v>155.19999999999999</v>
      </c>
      <c r="K33" s="3">
        <v>163.9</v>
      </c>
      <c r="L33" s="3">
        <v>118.1</v>
      </c>
      <c r="M33" s="3">
        <v>175.4</v>
      </c>
      <c r="N33" s="3">
        <v>170.5</v>
      </c>
      <c r="O33" s="3">
        <v>176.3</v>
      </c>
      <c r="P33" s="3">
        <v>163.9</v>
      </c>
      <c r="Q33" s="3">
        <v>2150.4</v>
      </c>
      <c r="R33" s="3">
        <v>191.5</v>
      </c>
      <c r="S33" s="3">
        <v>174.1</v>
      </c>
      <c r="T33" s="3">
        <v>171</v>
      </c>
      <c r="U33" s="3">
        <v>173.7</v>
      </c>
      <c r="V33" s="3">
        <v>518.79999999999995</v>
      </c>
      <c r="W33" t="s">
        <v>32</v>
      </c>
      <c r="X33" s="3">
        <v>168</v>
      </c>
      <c r="Y33" s="3">
        <v>167.4</v>
      </c>
      <c r="Z33" s="3">
        <v>165.7</v>
      </c>
      <c r="AA33" s="3">
        <v>175.3</v>
      </c>
      <c r="AB33" s="3">
        <v>161.19999999999999</v>
      </c>
      <c r="AC33" s="3">
        <v>165.5</v>
      </c>
      <c r="AD33" s="3">
        <v>170.3</v>
      </c>
      <c r="AE33" s="3">
        <v>164.5</v>
      </c>
      <c r="AF33" s="3">
        <v>167.3</v>
      </c>
      <c r="AG33" s="3">
        <v>824.2</v>
      </c>
      <c r="AH33" s="3">
        <v>166.7</v>
      </c>
      <c r="AI33" s="10" t="str">
        <f t="shared" si="0"/>
        <v>2022 February</v>
      </c>
    </row>
    <row r="34" spans="1:35">
      <c r="A34" t="s">
        <v>33</v>
      </c>
      <c r="B34">
        <v>2022</v>
      </c>
      <c r="C34" t="s">
        <v>35</v>
      </c>
      <c r="D34" s="3">
        <v>152.5</v>
      </c>
      <c r="E34" s="3">
        <v>205.2</v>
      </c>
      <c r="F34" s="3">
        <v>176.4</v>
      </c>
      <c r="G34" s="3">
        <v>160.6</v>
      </c>
      <c r="H34" s="3">
        <v>171.5</v>
      </c>
      <c r="I34" s="3">
        <v>156.4</v>
      </c>
      <c r="J34" s="3">
        <v>198</v>
      </c>
      <c r="K34" s="3">
        <v>163.19999999999999</v>
      </c>
      <c r="L34" s="3">
        <v>120.6</v>
      </c>
      <c r="M34" s="3">
        <v>172.2</v>
      </c>
      <c r="N34" s="3">
        <v>156.69999999999999</v>
      </c>
      <c r="O34" s="3">
        <v>180</v>
      </c>
      <c r="P34" s="3">
        <v>170.2</v>
      </c>
      <c r="Q34" s="3">
        <v>2183.5</v>
      </c>
      <c r="R34" s="3">
        <v>196.5</v>
      </c>
      <c r="S34" s="3">
        <v>165.7</v>
      </c>
      <c r="T34" s="3">
        <v>150.4</v>
      </c>
      <c r="U34" s="3">
        <v>163.4</v>
      </c>
      <c r="V34" s="3">
        <v>479.5</v>
      </c>
      <c r="W34">
        <v>165.5</v>
      </c>
      <c r="X34" s="3">
        <v>165.5</v>
      </c>
      <c r="Y34" s="3">
        <v>163</v>
      </c>
      <c r="Z34" s="3">
        <v>157.4</v>
      </c>
      <c r="AA34" s="3">
        <v>167.2</v>
      </c>
      <c r="AB34" s="3">
        <v>153.1</v>
      </c>
      <c r="AC34" s="3">
        <v>159.5</v>
      </c>
      <c r="AD34" s="3">
        <v>162</v>
      </c>
      <c r="AE34" s="3">
        <v>164.2</v>
      </c>
      <c r="AF34" s="3">
        <v>159.4</v>
      </c>
      <c r="AG34" s="3">
        <v>793.6</v>
      </c>
      <c r="AH34" s="3">
        <v>165.5</v>
      </c>
      <c r="AI34" s="10" t="str">
        <f t="shared" si="0"/>
        <v>2022 February</v>
      </c>
    </row>
    <row r="35" spans="1:35">
      <c r="A35" t="s">
        <v>30</v>
      </c>
      <c r="B35">
        <v>2022</v>
      </c>
      <c r="C35" t="s">
        <v>46</v>
      </c>
      <c r="D35" s="3">
        <v>168.8</v>
      </c>
      <c r="E35" s="3">
        <v>206.9</v>
      </c>
      <c r="F35" s="3">
        <v>189.1</v>
      </c>
      <c r="G35" s="3">
        <v>173.4</v>
      </c>
      <c r="H35" s="3">
        <v>193.9</v>
      </c>
      <c r="I35" s="3">
        <v>156.69999999999999</v>
      </c>
      <c r="J35" s="3">
        <v>150.19999999999999</v>
      </c>
      <c r="K35" s="3">
        <v>170.5</v>
      </c>
      <c r="L35" s="3">
        <v>121.2</v>
      </c>
      <c r="M35" s="3">
        <v>207.5</v>
      </c>
      <c r="N35" s="3">
        <v>176.8</v>
      </c>
      <c r="O35" s="3">
        <v>187.7</v>
      </c>
      <c r="P35" s="3">
        <v>174.4</v>
      </c>
      <c r="Q35" s="3">
        <v>2277.1</v>
      </c>
      <c r="R35" s="3">
        <v>195.9</v>
      </c>
      <c r="S35" s="3">
        <v>188.1</v>
      </c>
      <c r="T35" s="3">
        <v>185.9</v>
      </c>
      <c r="U35" s="3">
        <v>187.8</v>
      </c>
      <c r="V35" s="3">
        <v>561.79999999999995</v>
      </c>
      <c r="W35" t="s">
        <v>32</v>
      </c>
      <c r="X35" s="3">
        <v>168</v>
      </c>
      <c r="Y35" s="3">
        <v>182.8</v>
      </c>
      <c r="Z35" s="3">
        <v>176.4</v>
      </c>
      <c r="AA35" s="3">
        <v>183.5</v>
      </c>
      <c r="AB35" s="3">
        <v>167.8</v>
      </c>
      <c r="AC35" s="3">
        <v>171.2</v>
      </c>
      <c r="AD35" s="3">
        <v>177.3</v>
      </c>
      <c r="AE35" s="3">
        <v>175.7</v>
      </c>
      <c r="AF35" s="3">
        <v>175.5</v>
      </c>
      <c r="AG35" s="3">
        <v>866.60000000000014</v>
      </c>
      <c r="AH35" s="3">
        <v>177.1</v>
      </c>
      <c r="AI35" s="10" t="str">
        <f t="shared" si="0"/>
        <v>2022 December</v>
      </c>
    </row>
    <row r="36" spans="1:35">
      <c r="A36" t="s">
        <v>33</v>
      </c>
      <c r="B36">
        <v>2022</v>
      </c>
      <c r="C36" t="s">
        <v>46</v>
      </c>
      <c r="D36" s="3">
        <v>170.2</v>
      </c>
      <c r="E36" s="3">
        <v>212.9</v>
      </c>
      <c r="F36" s="3">
        <v>191.9</v>
      </c>
      <c r="G36" s="3">
        <v>173.9</v>
      </c>
      <c r="H36" s="3">
        <v>179.1</v>
      </c>
      <c r="I36" s="3">
        <v>159.5</v>
      </c>
      <c r="J36" s="3">
        <v>178.7</v>
      </c>
      <c r="K36" s="3">
        <v>171.3</v>
      </c>
      <c r="L36" s="3">
        <v>123.1</v>
      </c>
      <c r="M36" s="3">
        <v>200.5</v>
      </c>
      <c r="N36" s="3">
        <v>162.80000000000001</v>
      </c>
      <c r="O36" s="3">
        <v>193.3</v>
      </c>
      <c r="P36" s="3">
        <v>178.6</v>
      </c>
      <c r="Q36" s="3">
        <v>2295.7999999999997</v>
      </c>
      <c r="R36" s="3">
        <v>201.1</v>
      </c>
      <c r="S36" s="3">
        <v>177.7</v>
      </c>
      <c r="T36" s="3">
        <v>164.5</v>
      </c>
      <c r="U36" s="3">
        <v>175.7</v>
      </c>
      <c r="V36" s="3">
        <v>517.9</v>
      </c>
      <c r="W36">
        <v>170.7</v>
      </c>
      <c r="X36" s="3">
        <v>170.7</v>
      </c>
      <c r="Y36" s="3">
        <v>180.6</v>
      </c>
      <c r="Z36" s="3">
        <v>167.3</v>
      </c>
      <c r="AA36" s="3">
        <v>177.2</v>
      </c>
      <c r="AB36" s="3">
        <v>159.4</v>
      </c>
      <c r="AC36" s="3">
        <v>167.1</v>
      </c>
      <c r="AD36" s="3">
        <v>171.8</v>
      </c>
      <c r="AE36" s="3">
        <v>176</v>
      </c>
      <c r="AF36" s="3">
        <v>168.2</v>
      </c>
      <c r="AG36" s="3">
        <v>838</v>
      </c>
      <c r="AH36" s="3">
        <v>174.1</v>
      </c>
      <c r="AI36" s="10" t="str">
        <f t="shared" si="0"/>
        <v>2022 December</v>
      </c>
    </row>
    <row r="37" spans="1:35">
      <c r="A37" t="s">
        <v>30</v>
      </c>
      <c r="B37">
        <v>2022</v>
      </c>
      <c r="C37" t="s">
        <v>41</v>
      </c>
      <c r="D37" s="3">
        <v>159.5</v>
      </c>
      <c r="E37" s="3">
        <v>204.1</v>
      </c>
      <c r="F37" s="3">
        <v>168.3</v>
      </c>
      <c r="G37" s="3">
        <v>167.9</v>
      </c>
      <c r="H37" s="3">
        <v>198.1</v>
      </c>
      <c r="I37" s="3">
        <v>169.2</v>
      </c>
      <c r="J37" s="3">
        <v>173.1</v>
      </c>
      <c r="K37" s="3">
        <v>167.1</v>
      </c>
      <c r="L37" s="3">
        <v>120.2</v>
      </c>
      <c r="M37" s="3">
        <v>195.6</v>
      </c>
      <c r="N37" s="3">
        <v>174.8</v>
      </c>
      <c r="O37" s="3">
        <v>184</v>
      </c>
      <c r="P37" s="3">
        <v>173.9</v>
      </c>
      <c r="Q37" s="3">
        <v>2255.7999999999997</v>
      </c>
      <c r="R37" s="3">
        <v>193.7</v>
      </c>
      <c r="S37" s="3">
        <v>183.2</v>
      </c>
      <c r="T37" s="3">
        <v>181.7</v>
      </c>
      <c r="U37" s="3">
        <v>183</v>
      </c>
      <c r="V37" s="3">
        <v>547.9</v>
      </c>
      <c r="W37" t="s">
        <v>32</v>
      </c>
      <c r="X37" s="3">
        <v>168</v>
      </c>
      <c r="Y37" s="3">
        <v>179.1</v>
      </c>
      <c r="Z37" s="3">
        <v>172.3</v>
      </c>
      <c r="AA37" s="3">
        <v>179.4</v>
      </c>
      <c r="AB37" s="3">
        <v>166.6</v>
      </c>
      <c r="AC37" s="3">
        <v>169.3</v>
      </c>
      <c r="AD37" s="3">
        <v>175.7</v>
      </c>
      <c r="AE37" s="3">
        <v>171.1</v>
      </c>
      <c r="AF37" s="3">
        <v>172.6</v>
      </c>
      <c r="AG37" s="3">
        <v>851.9</v>
      </c>
      <c r="AH37" s="3">
        <v>175.3</v>
      </c>
      <c r="AI37" s="10" t="str">
        <f t="shared" si="0"/>
        <v>2022 August</v>
      </c>
    </row>
    <row r="38" spans="1:35">
      <c r="A38" t="s">
        <v>33</v>
      </c>
      <c r="B38">
        <v>2022</v>
      </c>
      <c r="C38" t="s">
        <v>41</v>
      </c>
      <c r="D38" s="3">
        <v>162.1</v>
      </c>
      <c r="E38" s="3">
        <v>210.9</v>
      </c>
      <c r="F38" s="3">
        <v>170.6</v>
      </c>
      <c r="G38" s="3">
        <v>168.4</v>
      </c>
      <c r="H38" s="3">
        <v>182.5</v>
      </c>
      <c r="I38" s="3">
        <v>177.1</v>
      </c>
      <c r="J38" s="3">
        <v>213.1</v>
      </c>
      <c r="K38" s="3">
        <v>167.3</v>
      </c>
      <c r="L38" s="3">
        <v>122.2</v>
      </c>
      <c r="M38" s="3">
        <v>189.7</v>
      </c>
      <c r="N38" s="3">
        <v>160.5</v>
      </c>
      <c r="O38" s="3">
        <v>188.9</v>
      </c>
      <c r="P38" s="3">
        <v>180.4</v>
      </c>
      <c r="Q38" s="3">
        <v>2293.6999999999998</v>
      </c>
      <c r="R38" s="3">
        <v>198.7</v>
      </c>
      <c r="S38" s="3">
        <v>173.7</v>
      </c>
      <c r="T38" s="3">
        <v>160</v>
      </c>
      <c r="U38" s="3">
        <v>171.6</v>
      </c>
      <c r="V38" s="3">
        <v>505.29999999999995</v>
      </c>
      <c r="W38">
        <v>169</v>
      </c>
      <c r="X38" s="3">
        <v>169</v>
      </c>
      <c r="Y38" s="3">
        <v>178.4</v>
      </c>
      <c r="Z38" s="3">
        <v>164.2</v>
      </c>
      <c r="AA38" s="3">
        <v>172.6</v>
      </c>
      <c r="AB38" s="3">
        <v>157.69999999999999</v>
      </c>
      <c r="AC38" s="3">
        <v>165.1</v>
      </c>
      <c r="AD38" s="3">
        <v>169.9</v>
      </c>
      <c r="AE38" s="3">
        <v>171.4</v>
      </c>
      <c r="AF38" s="3">
        <v>165.4</v>
      </c>
      <c r="AG38" s="3">
        <v>823.8</v>
      </c>
      <c r="AH38" s="3">
        <v>173.1</v>
      </c>
      <c r="AI38" s="10" t="str">
        <f t="shared" si="0"/>
        <v>2022 August</v>
      </c>
    </row>
    <row r="39" spans="1:35">
      <c r="A39" t="s">
        <v>30</v>
      </c>
      <c r="B39">
        <v>2022</v>
      </c>
      <c r="C39" t="s">
        <v>37</v>
      </c>
      <c r="D39" s="3">
        <v>151.80000000000001</v>
      </c>
      <c r="E39" s="3">
        <v>209.7</v>
      </c>
      <c r="F39" s="3">
        <v>164.5</v>
      </c>
      <c r="G39" s="3">
        <v>163.80000000000001</v>
      </c>
      <c r="H39" s="3">
        <v>207.4</v>
      </c>
      <c r="I39" s="3">
        <v>169.7</v>
      </c>
      <c r="J39" s="3">
        <v>153.6</v>
      </c>
      <c r="K39" s="3">
        <v>165.1</v>
      </c>
      <c r="L39" s="3">
        <v>118.2</v>
      </c>
      <c r="M39" s="3">
        <v>182.9</v>
      </c>
      <c r="N39" s="3">
        <v>172.4</v>
      </c>
      <c r="O39" s="3">
        <v>178.9</v>
      </c>
      <c r="P39" s="3">
        <v>168.6</v>
      </c>
      <c r="Q39" s="3">
        <v>2206.6</v>
      </c>
      <c r="R39" s="3">
        <v>192.8</v>
      </c>
      <c r="S39" s="3">
        <v>177.5</v>
      </c>
      <c r="T39" s="3">
        <v>175.1</v>
      </c>
      <c r="U39" s="3">
        <v>177.1</v>
      </c>
      <c r="V39" s="3">
        <v>529.70000000000005</v>
      </c>
      <c r="W39" t="s">
        <v>32</v>
      </c>
      <c r="X39" s="3">
        <v>168</v>
      </c>
      <c r="Y39" s="3">
        <v>173.3</v>
      </c>
      <c r="Z39" s="3">
        <v>167.7</v>
      </c>
      <c r="AA39" s="3">
        <v>177</v>
      </c>
      <c r="AB39" s="3">
        <v>166.2</v>
      </c>
      <c r="AC39" s="3">
        <v>167.2</v>
      </c>
      <c r="AD39" s="3">
        <v>170.9</v>
      </c>
      <c r="AE39" s="3">
        <v>169</v>
      </c>
      <c r="AF39" s="3">
        <v>170.2</v>
      </c>
      <c r="AG39" s="3">
        <v>840.3</v>
      </c>
      <c r="AH39" s="3">
        <v>170.8</v>
      </c>
      <c r="AI39" s="10" t="str">
        <f t="shared" si="0"/>
        <v>2022 April</v>
      </c>
    </row>
    <row r="40" spans="1:35">
      <c r="A40" t="s">
        <v>33</v>
      </c>
      <c r="B40">
        <v>2022</v>
      </c>
      <c r="C40" t="s">
        <v>37</v>
      </c>
      <c r="D40" s="3">
        <v>155.4</v>
      </c>
      <c r="E40" s="3">
        <v>215.8</v>
      </c>
      <c r="F40" s="3">
        <v>164.6</v>
      </c>
      <c r="G40" s="3">
        <v>164.2</v>
      </c>
      <c r="H40" s="3">
        <v>186</v>
      </c>
      <c r="I40" s="3">
        <v>175.9</v>
      </c>
      <c r="J40" s="3">
        <v>190.7</v>
      </c>
      <c r="K40" s="3">
        <v>164</v>
      </c>
      <c r="L40" s="3">
        <v>120.5</v>
      </c>
      <c r="M40" s="3">
        <v>178</v>
      </c>
      <c r="N40" s="3">
        <v>157.5</v>
      </c>
      <c r="O40" s="3">
        <v>183.3</v>
      </c>
      <c r="P40" s="3">
        <v>174.5</v>
      </c>
      <c r="Q40" s="3">
        <v>2230.4</v>
      </c>
      <c r="R40" s="3">
        <v>197.1</v>
      </c>
      <c r="S40" s="3">
        <v>168.4</v>
      </c>
      <c r="T40" s="3">
        <v>154.5</v>
      </c>
      <c r="U40" s="3">
        <v>166.3</v>
      </c>
      <c r="V40" s="3">
        <v>489.2</v>
      </c>
      <c r="W40">
        <v>167</v>
      </c>
      <c r="X40" s="3">
        <v>167</v>
      </c>
      <c r="Y40" s="3">
        <v>170.5</v>
      </c>
      <c r="Z40" s="3">
        <v>159.80000000000001</v>
      </c>
      <c r="AA40" s="3">
        <v>169</v>
      </c>
      <c r="AB40" s="3">
        <v>159.30000000000001</v>
      </c>
      <c r="AC40" s="3">
        <v>162.19999999999999</v>
      </c>
      <c r="AD40" s="3">
        <v>164</v>
      </c>
      <c r="AE40" s="3">
        <v>168.4</v>
      </c>
      <c r="AF40" s="3">
        <v>163.1</v>
      </c>
      <c r="AG40" s="3">
        <v>812.80000000000007</v>
      </c>
      <c r="AH40" s="3">
        <v>169.2</v>
      </c>
      <c r="AI40" s="10" t="str">
        <f t="shared" si="0"/>
        <v>2022 April</v>
      </c>
    </row>
    <row r="41" spans="1:35">
      <c r="A41" t="s">
        <v>34</v>
      </c>
      <c r="B41">
        <v>2022</v>
      </c>
      <c r="C41" t="s">
        <v>42</v>
      </c>
      <c r="D41" s="3">
        <v>163.5</v>
      </c>
      <c r="E41" s="3">
        <v>209.2</v>
      </c>
      <c r="F41" s="3">
        <v>169.7</v>
      </c>
      <c r="G41" s="3">
        <v>169.7</v>
      </c>
      <c r="H41" s="3">
        <v>188.7</v>
      </c>
      <c r="I41" s="3">
        <v>165.7</v>
      </c>
      <c r="J41" s="3">
        <v>191.8</v>
      </c>
      <c r="K41" s="3">
        <v>169.1</v>
      </c>
      <c r="L41" s="3">
        <v>121.6</v>
      </c>
      <c r="M41" s="3">
        <v>197.3</v>
      </c>
      <c r="N41" s="3">
        <v>169.4</v>
      </c>
      <c r="O41" s="3">
        <v>187.4</v>
      </c>
      <c r="P41" s="3">
        <v>177.8</v>
      </c>
      <c r="Q41" s="3">
        <v>2280.9</v>
      </c>
      <c r="R41" s="3">
        <v>195.9</v>
      </c>
      <c r="S41" s="3">
        <v>180.9</v>
      </c>
      <c r="T41" s="3">
        <v>174.3</v>
      </c>
      <c r="U41" s="3">
        <v>179.9</v>
      </c>
      <c r="V41" s="3">
        <v>535.1</v>
      </c>
      <c r="W41">
        <v>169.5</v>
      </c>
      <c r="X41" s="3">
        <v>169.5</v>
      </c>
      <c r="Y41" s="3">
        <v>179.5</v>
      </c>
      <c r="Z41" s="3">
        <v>169.5</v>
      </c>
      <c r="AA41" s="3">
        <v>177.8</v>
      </c>
      <c r="AB41" s="3">
        <v>162.30000000000001</v>
      </c>
      <c r="AC41" s="3">
        <v>167.6</v>
      </c>
      <c r="AD41" s="3">
        <v>173.1</v>
      </c>
      <c r="AE41" s="3">
        <v>170.9</v>
      </c>
      <c r="AF41" s="3">
        <v>169.7</v>
      </c>
      <c r="AG41" s="3">
        <v>840</v>
      </c>
      <c r="AH41" s="3">
        <v>175.3</v>
      </c>
      <c r="AI41" s="10" t="str">
        <f t="shared" si="0"/>
        <v>2022 September</v>
      </c>
    </row>
    <row r="42" spans="1:35">
      <c r="A42" t="s">
        <v>34</v>
      </c>
      <c r="B42">
        <v>2022</v>
      </c>
      <c r="C42" t="s">
        <v>43</v>
      </c>
      <c r="D42" s="3">
        <v>165.2</v>
      </c>
      <c r="E42" s="3">
        <v>210.9</v>
      </c>
      <c r="F42" s="3">
        <v>170.9</v>
      </c>
      <c r="G42" s="3">
        <v>170.9</v>
      </c>
      <c r="H42" s="3">
        <v>186.5</v>
      </c>
      <c r="I42" s="3">
        <v>163.80000000000001</v>
      </c>
      <c r="J42" s="3">
        <v>199.7</v>
      </c>
      <c r="K42" s="3">
        <v>169.8</v>
      </c>
      <c r="L42" s="3">
        <v>121.9</v>
      </c>
      <c r="M42" s="3">
        <v>199.9</v>
      </c>
      <c r="N42" s="3">
        <v>169.9</v>
      </c>
      <c r="O42" s="3">
        <v>188.3</v>
      </c>
      <c r="P42" s="3">
        <v>179.6</v>
      </c>
      <c r="Q42" s="3">
        <v>2297.3000000000002</v>
      </c>
      <c r="R42" s="3">
        <v>196.3</v>
      </c>
      <c r="S42" s="3">
        <v>181.9</v>
      </c>
      <c r="T42" s="3">
        <v>175.3</v>
      </c>
      <c r="U42" s="3">
        <v>181</v>
      </c>
      <c r="V42" s="3">
        <v>538.20000000000005</v>
      </c>
      <c r="W42">
        <v>171.2</v>
      </c>
      <c r="X42" s="3">
        <v>171.2</v>
      </c>
      <c r="Y42" s="3">
        <v>180.5</v>
      </c>
      <c r="Z42" s="3">
        <v>170.4</v>
      </c>
      <c r="AA42" s="3">
        <v>178.7</v>
      </c>
      <c r="AB42" s="3">
        <v>162.9</v>
      </c>
      <c r="AC42" s="3">
        <v>168.2</v>
      </c>
      <c r="AD42" s="3">
        <v>173.4</v>
      </c>
      <c r="AE42" s="3">
        <v>172.1</v>
      </c>
      <c r="AF42" s="3">
        <v>170.5</v>
      </c>
      <c r="AG42" s="3">
        <v>844.1</v>
      </c>
      <c r="AH42" s="3">
        <v>176.7</v>
      </c>
      <c r="AI42" s="10" t="str">
        <f t="shared" si="0"/>
        <v>2022 October</v>
      </c>
    </row>
    <row r="43" spans="1:35">
      <c r="A43" t="s">
        <v>34</v>
      </c>
      <c r="B43">
        <v>2022</v>
      </c>
      <c r="C43" t="s">
        <v>45</v>
      </c>
      <c r="D43" s="3">
        <v>167.4</v>
      </c>
      <c r="E43" s="3">
        <v>209.4</v>
      </c>
      <c r="F43" s="3">
        <v>181.4</v>
      </c>
      <c r="G43" s="3">
        <v>172.3</v>
      </c>
      <c r="H43" s="3">
        <v>188.9</v>
      </c>
      <c r="I43" s="3">
        <v>160.69999999999999</v>
      </c>
      <c r="J43" s="3">
        <v>183.1</v>
      </c>
      <c r="K43" s="3">
        <v>170.5</v>
      </c>
      <c r="L43" s="3">
        <v>122.1</v>
      </c>
      <c r="M43" s="3">
        <v>202.8</v>
      </c>
      <c r="N43" s="3">
        <v>170.4</v>
      </c>
      <c r="O43" s="3">
        <v>189.5</v>
      </c>
      <c r="P43" s="3">
        <v>178.3</v>
      </c>
      <c r="Q43" s="3">
        <v>2296.8000000000002</v>
      </c>
      <c r="R43" s="3">
        <v>196.9</v>
      </c>
      <c r="S43" s="3">
        <v>183.1</v>
      </c>
      <c r="T43" s="3">
        <v>176.2</v>
      </c>
      <c r="U43" s="3">
        <v>182.1</v>
      </c>
      <c r="V43" s="3">
        <v>541.4</v>
      </c>
      <c r="W43">
        <v>171.8</v>
      </c>
      <c r="X43" s="3">
        <v>171.8</v>
      </c>
      <c r="Y43" s="3">
        <v>181.3</v>
      </c>
      <c r="Z43" s="3">
        <v>171.4</v>
      </c>
      <c r="AA43" s="3">
        <v>179.8</v>
      </c>
      <c r="AB43" s="3">
        <v>163</v>
      </c>
      <c r="AC43" s="3">
        <v>168.5</v>
      </c>
      <c r="AD43" s="3">
        <v>173.7</v>
      </c>
      <c r="AE43" s="3">
        <v>173.6</v>
      </c>
      <c r="AF43" s="3">
        <v>171.1</v>
      </c>
      <c r="AG43" s="3">
        <v>847.6</v>
      </c>
      <c r="AH43" s="3">
        <v>176.5</v>
      </c>
      <c r="AI43" s="10" t="str">
        <f t="shared" si="0"/>
        <v>2022 November</v>
      </c>
    </row>
    <row r="44" spans="1:35">
      <c r="A44" t="s">
        <v>34</v>
      </c>
      <c r="B44">
        <v>2022</v>
      </c>
      <c r="C44" t="s">
        <v>38</v>
      </c>
      <c r="D44" s="3">
        <v>154.1</v>
      </c>
      <c r="E44" s="3">
        <v>217</v>
      </c>
      <c r="F44" s="3">
        <v>162.4</v>
      </c>
      <c r="G44" s="3">
        <v>164.9</v>
      </c>
      <c r="H44" s="3">
        <v>202.4</v>
      </c>
      <c r="I44" s="3">
        <v>171</v>
      </c>
      <c r="J44" s="3">
        <v>174.9</v>
      </c>
      <c r="K44" s="3">
        <v>164.7</v>
      </c>
      <c r="L44" s="3">
        <v>119.7</v>
      </c>
      <c r="M44" s="3">
        <v>184.9</v>
      </c>
      <c r="N44" s="3">
        <v>167.1</v>
      </c>
      <c r="O44" s="3">
        <v>182.5</v>
      </c>
      <c r="P44" s="3">
        <v>173.3</v>
      </c>
      <c r="Q44" s="3">
        <v>2238.9000000000005</v>
      </c>
      <c r="R44" s="3">
        <v>194.1</v>
      </c>
      <c r="S44" s="3">
        <v>175.6</v>
      </c>
      <c r="T44" s="3">
        <v>168.4</v>
      </c>
      <c r="U44" s="3">
        <v>174.6</v>
      </c>
      <c r="V44" s="3">
        <v>518.6</v>
      </c>
      <c r="W44">
        <v>167.5</v>
      </c>
      <c r="X44" s="3">
        <v>167.5</v>
      </c>
      <c r="Y44" s="3">
        <v>174.6</v>
      </c>
      <c r="Z44" s="3">
        <v>165.2</v>
      </c>
      <c r="AA44" s="3">
        <v>174.8</v>
      </c>
      <c r="AB44" s="3">
        <v>163</v>
      </c>
      <c r="AC44" s="3">
        <v>165.1</v>
      </c>
      <c r="AD44" s="3">
        <v>167.9</v>
      </c>
      <c r="AE44" s="3">
        <v>168.4</v>
      </c>
      <c r="AF44" s="3">
        <v>167.5</v>
      </c>
      <c r="AG44" s="3">
        <v>829.19999999999993</v>
      </c>
      <c r="AH44" s="3">
        <v>171.7</v>
      </c>
      <c r="AI44" s="10" t="str">
        <f t="shared" si="0"/>
        <v>2022 May</v>
      </c>
    </row>
    <row r="45" spans="1:35">
      <c r="A45" t="s">
        <v>34</v>
      </c>
      <c r="B45">
        <v>2022</v>
      </c>
      <c r="C45" t="s">
        <v>36</v>
      </c>
      <c r="D45" s="3">
        <v>151.30000000000001</v>
      </c>
      <c r="E45" s="3">
        <v>210.7</v>
      </c>
      <c r="F45" s="3">
        <v>167.8</v>
      </c>
      <c r="G45" s="3">
        <v>162.19999999999999</v>
      </c>
      <c r="H45" s="3">
        <v>194.6</v>
      </c>
      <c r="I45" s="3">
        <v>157.6</v>
      </c>
      <c r="J45" s="3">
        <v>166.9</v>
      </c>
      <c r="K45" s="3">
        <v>163.9</v>
      </c>
      <c r="L45" s="3">
        <v>118.8</v>
      </c>
      <c r="M45" s="3">
        <v>177.4</v>
      </c>
      <c r="N45" s="3">
        <v>165.3</v>
      </c>
      <c r="O45" s="3">
        <v>179.3</v>
      </c>
      <c r="P45" s="3">
        <v>168.4</v>
      </c>
      <c r="Q45" s="3">
        <v>2184.2000000000003</v>
      </c>
      <c r="R45" s="3">
        <v>193.7</v>
      </c>
      <c r="S45" s="3">
        <v>172.1</v>
      </c>
      <c r="T45" s="3">
        <v>164.6</v>
      </c>
      <c r="U45" s="3">
        <v>171.1</v>
      </c>
      <c r="V45" s="3">
        <v>507.79999999999995</v>
      </c>
      <c r="W45">
        <v>165.3</v>
      </c>
      <c r="X45" s="3">
        <v>165.3</v>
      </c>
      <c r="Y45" s="3">
        <v>167.2</v>
      </c>
      <c r="Z45" s="3">
        <v>162.80000000000001</v>
      </c>
      <c r="AA45" s="3">
        <v>173</v>
      </c>
      <c r="AB45" s="3">
        <v>157.9</v>
      </c>
      <c r="AC45" s="3">
        <v>163.30000000000001</v>
      </c>
      <c r="AD45" s="3">
        <v>166</v>
      </c>
      <c r="AE45" s="3">
        <v>167.2</v>
      </c>
      <c r="AF45" s="3">
        <v>164.6</v>
      </c>
      <c r="AG45" s="3">
        <v>815.80000000000007</v>
      </c>
      <c r="AH45" s="3">
        <v>167.7</v>
      </c>
      <c r="AI45" s="10" t="str">
        <f t="shared" si="0"/>
        <v>2022 March</v>
      </c>
    </row>
    <row r="46" spans="1:35">
      <c r="A46" t="s">
        <v>34</v>
      </c>
      <c r="B46">
        <v>2022</v>
      </c>
      <c r="C46" t="s">
        <v>39</v>
      </c>
      <c r="D46" s="3">
        <v>155</v>
      </c>
      <c r="E46" s="3">
        <v>219.4</v>
      </c>
      <c r="F46" s="3">
        <v>170.8</v>
      </c>
      <c r="G46" s="3">
        <v>165.8</v>
      </c>
      <c r="H46" s="3">
        <v>200.9</v>
      </c>
      <c r="I46" s="3">
        <v>169.7</v>
      </c>
      <c r="J46" s="3">
        <v>182.3</v>
      </c>
      <c r="K46" s="3">
        <v>164.3</v>
      </c>
      <c r="L46" s="3">
        <v>119.9</v>
      </c>
      <c r="M46" s="3">
        <v>187.1</v>
      </c>
      <c r="N46" s="3">
        <v>167.9</v>
      </c>
      <c r="O46" s="3">
        <v>183.9</v>
      </c>
      <c r="P46" s="3">
        <v>174.9</v>
      </c>
      <c r="Q46" s="3">
        <v>2261.9</v>
      </c>
      <c r="R46" s="3">
        <v>194.3</v>
      </c>
      <c r="S46" s="3">
        <v>177.1</v>
      </c>
      <c r="T46" s="3">
        <v>169.9</v>
      </c>
      <c r="U46" s="3">
        <v>176</v>
      </c>
      <c r="V46" s="3">
        <v>523</v>
      </c>
      <c r="W46">
        <v>166.8</v>
      </c>
      <c r="X46" s="3">
        <v>166.8</v>
      </c>
      <c r="Y46" s="3">
        <v>176</v>
      </c>
      <c r="Z46" s="3">
        <v>166.4</v>
      </c>
      <c r="AA46" s="3">
        <v>175.4</v>
      </c>
      <c r="AB46" s="3">
        <v>161.1</v>
      </c>
      <c r="AC46" s="3">
        <v>165.8</v>
      </c>
      <c r="AD46" s="3">
        <v>169</v>
      </c>
      <c r="AE46" s="3">
        <v>169.4</v>
      </c>
      <c r="AF46" s="3">
        <v>167.5</v>
      </c>
      <c r="AG46" s="3">
        <v>830.2</v>
      </c>
      <c r="AH46" s="3">
        <v>172.6</v>
      </c>
      <c r="AI46" s="10" t="str">
        <f t="shared" si="0"/>
        <v>2022 June</v>
      </c>
    </row>
    <row r="47" spans="1:35">
      <c r="A47" t="s">
        <v>34</v>
      </c>
      <c r="B47">
        <v>2022</v>
      </c>
      <c r="C47" t="s">
        <v>40</v>
      </c>
      <c r="D47" s="3">
        <v>156.5</v>
      </c>
      <c r="E47" s="3">
        <v>213</v>
      </c>
      <c r="F47" s="3">
        <v>175.2</v>
      </c>
      <c r="G47" s="3">
        <v>166.6</v>
      </c>
      <c r="H47" s="3">
        <v>195.8</v>
      </c>
      <c r="I47" s="3">
        <v>174.2</v>
      </c>
      <c r="J47" s="3">
        <v>182.1</v>
      </c>
      <c r="K47" s="3">
        <v>164.3</v>
      </c>
      <c r="L47" s="3">
        <v>120</v>
      </c>
      <c r="M47" s="3">
        <v>190</v>
      </c>
      <c r="N47" s="3">
        <v>168.4</v>
      </c>
      <c r="O47" s="3">
        <v>185.2</v>
      </c>
      <c r="P47" s="3">
        <v>175</v>
      </c>
      <c r="Q47" s="3">
        <v>2266.3000000000002</v>
      </c>
      <c r="R47" s="3">
        <v>194.6</v>
      </c>
      <c r="S47" s="3">
        <v>178.3</v>
      </c>
      <c r="T47" s="3">
        <v>171.3</v>
      </c>
      <c r="U47" s="3">
        <v>177.3</v>
      </c>
      <c r="V47" s="3">
        <v>526.90000000000009</v>
      </c>
      <c r="W47">
        <v>167.8</v>
      </c>
      <c r="X47" s="3">
        <v>167.8</v>
      </c>
      <c r="Y47" s="3">
        <v>179.6</v>
      </c>
      <c r="Z47" s="3">
        <v>167.4</v>
      </c>
      <c r="AA47" s="3">
        <v>176.1</v>
      </c>
      <c r="AB47" s="3">
        <v>161.6</v>
      </c>
      <c r="AC47" s="3">
        <v>166.3</v>
      </c>
      <c r="AD47" s="3">
        <v>171.4</v>
      </c>
      <c r="AE47" s="3">
        <v>169.7</v>
      </c>
      <c r="AF47" s="3">
        <v>168.4</v>
      </c>
      <c r="AG47" s="3">
        <v>833.4</v>
      </c>
      <c r="AH47" s="3">
        <v>173.4</v>
      </c>
      <c r="AI47" s="10" t="str">
        <f t="shared" si="0"/>
        <v>2022 July</v>
      </c>
    </row>
    <row r="48" spans="1:35">
      <c r="A48" t="s">
        <v>34</v>
      </c>
      <c r="B48">
        <v>2022</v>
      </c>
      <c r="C48" t="s">
        <v>31</v>
      </c>
      <c r="D48" s="3">
        <v>149.5</v>
      </c>
      <c r="E48" s="3">
        <v>198.7</v>
      </c>
      <c r="F48" s="3">
        <v>178.8</v>
      </c>
      <c r="G48" s="3">
        <v>160.5</v>
      </c>
      <c r="H48" s="3">
        <v>184.7</v>
      </c>
      <c r="I48" s="3">
        <v>153.69999999999999</v>
      </c>
      <c r="J48" s="3">
        <v>174.3</v>
      </c>
      <c r="K48" s="3">
        <v>163.9</v>
      </c>
      <c r="L48" s="3">
        <v>120</v>
      </c>
      <c r="M48" s="3">
        <v>172.1</v>
      </c>
      <c r="N48" s="3">
        <v>164.3</v>
      </c>
      <c r="O48" s="3">
        <v>177.3</v>
      </c>
      <c r="P48" s="3">
        <v>166.4</v>
      </c>
      <c r="Q48" s="3">
        <v>2164.1999999999998</v>
      </c>
      <c r="R48" s="3">
        <v>192.2</v>
      </c>
      <c r="S48" s="3">
        <v>169.9</v>
      </c>
      <c r="T48" s="3">
        <v>160.69999999999999</v>
      </c>
      <c r="U48" s="3">
        <v>168.5</v>
      </c>
      <c r="V48" s="3">
        <v>499.1</v>
      </c>
      <c r="W48">
        <v>164.5</v>
      </c>
      <c r="X48" s="3">
        <v>164.5</v>
      </c>
      <c r="Y48" s="3">
        <v>164.2</v>
      </c>
      <c r="Z48" s="3">
        <v>161.1</v>
      </c>
      <c r="AA48" s="3">
        <v>171.4</v>
      </c>
      <c r="AB48" s="3">
        <v>156.5</v>
      </c>
      <c r="AC48" s="3">
        <v>161.19999999999999</v>
      </c>
      <c r="AD48" s="3">
        <v>164.7</v>
      </c>
      <c r="AE48" s="3">
        <v>163</v>
      </c>
      <c r="AF48" s="3">
        <v>162.69999999999999</v>
      </c>
      <c r="AG48" s="3">
        <v>804.5</v>
      </c>
      <c r="AH48" s="3">
        <v>165.7</v>
      </c>
      <c r="AI48" s="10" t="str">
        <f t="shared" si="0"/>
        <v>2022 January</v>
      </c>
    </row>
    <row r="49" spans="1:35">
      <c r="A49" t="s">
        <v>34</v>
      </c>
      <c r="B49">
        <v>2022</v>
      </c>
      <c r="C49" t="s">
        <v>35</v>
      </c>
      <c r="D49" s="3">
        <v>150</v>
      </c>
      <c r="E49" s="3">
        <v>200.6</v>
      </c>
      <c r="F49" s="3">
        <v>175.8</v>
      </c>
      <c r="G49" s="3">
        <v>160.69999999999999</v>
      </c>
      <c r="H49" s="3">
        <v>184.9</v>
      </c>
      <c r="I49" s="3">
        <v>153.69999999999999</v>
      </c>
      <c r="J49" s="3">
        <v>169.7</v>
      </c>
      <c r="K49" s="3">
        <v>163.69999999999999</v>
      </c>
      <c r="L49" s="3">
        <v>118.9</v>
      </c>
      <c r="M49" s="3">
        <v>174.3</v>
      </c>
      <c r="N49" s="3">
        <v>164.7</v>
      </c>
      <c r="O49" s="3">
        <v>178</v>
      </c>
      <c r="P49" s="3">
        <v>166.2</v>
      </c>
      <c r="Q49" s="3">
        <v>2161.2000000000003</v>
      </c>
      <c r="R49" s="3">
        <v>192.8</v>
      </c>
      <c r="S49" s="3">
        <v>170.8</v>
      </c>
      <c r="T49" s="3">
        <v>162.4</v>
      </c>
      <c r="U49" s="3">
        <v>169.6</v>
      </c>
      <c r="V49" s="3">
        <v>502.80000000000007</v>
      </c>
      <c r="W49">
        <v>165.5</v>
      </c>
      <c r="X49" s="3">
        <v>165.5</v>
      </c>
      <c r="Y49" s="3">
        <v>165.7</v>
      </c>
      <c r="Z49" s="3">
        <v>161.80000000000001</v>
      </c>
      <c r="AA49" s="3">
        <v>172.2</v>
      </c>
      <c r="AB49" s="3">
        <v>156.9</v>
      </c>
      <c r="AC49" s="3">
        <v>162.1</v>
      </c>
      <c r="AD49" s="3">
        <v>165.4</v>
      </c>
      <c r="AE49" s="3">
        <v>164.4</v>
      </c>
      <c r="AF49" s="3">
        <v>163.5</v>
      </c>
      <c r="AG49" s="3">
        <v>808.7</v>
      </c>
      <c r="AH49" s="3">
        <v>166.1</v>
      </c>
      <c r="AI49" s="10" t="str">
        <f t="shared" si="0"/>
        <v>2022 February</v>
      </c>
    </row>
    <row r="50" spans="1:35">
      <c r="A50" t="s">
        <v>34</v>
      </c>
      <c r="B50">
        <v>2022</v>
      </c>
      <c r="C50" t="s">
        <v>46</v>
      </c>
      <c r="D50" s="3">
        <v>169.2</v>
      </c>
      <c r="E50" s="3">
        <v>209</v>
      </c>
      <c r="F50" s="3">
        <v>190.2</v>
      </c>
      <c r="G50" s="3">
        <v>173.6</v>
      </c>
      <c r="H50" s="3">
        <v>188.5</v>
      </c>
      <c r="I50" s="3">
        <v>158</v>
      </c>
      <c r="J50" s="3">
        <v>159.9</v>
      </c>
      <c r="K50" s="3">
        <v>170.8</v>
      </c>
      <c r="L50" s="3">
        <v>121.8</v>
      </c>
      <c r="M50" s="3">
        <v>205.2</v>
      </c>
      <c r="N50" s="3">
        <v>171</v>
      </c>
      <c r="O50" s="3">
        <v>190.3</v>
      </c>
      <c r="P50" s="3">
        <v>175.9</v>
      </c>
      <c r="Q50" s="3">
        <v>2283.4</v>
      </c>
      <c r="R50" s="3">
        <v>197.3</v>
      </c>
      <c r="S50" s="3">
        <v>184</v>
      </c>
      <c r="T50" s="3">
        <v>177</v>
      </c>
      <c r="U50" s="3">
        <v>183</v>
      </c>
      <c r="V50" s="3">
        <v>544</v>
      </c>
      <c r="W50">
        <v>170.7</v>
      </c>
      <c r="X50" s="3">
        <v>170.7</v>
      </c>
      <c r="Y50" s="3">
        <v>182</v>
      </c>
      <c r="Z50" s="3">
        <v>172.1</v>
      </c>
      <c r="AA50" s="3">
        <v>181.1</v>
      </c>
      <c r="AB50" s="3">
        <v>163.4</v>
      </c>
      <c r="AC50" s="3">
        <v>168.9</v>
      </c>
      <c r="AD50" s="3">
        <v>174.1</v>
      </c>
      <c r="AE50" s="3">
        <v>175.8</v>
      </c>
      <c r="AF50" s="3">
        <v>172</v>
      </c>
      <c r="AG50" s="3">
        <v>852.2</v>
      </c>
      <c r="AH50" s="3">
        <v>175.7</v>
      </c>
      <c r="AI50" s="10" t="str">
        <f t="shared" si="0"/>
        <v>2022 December</v>
      </c>
    </row>
    <row r="51" spans="1:35">
      <c r="A51" t="s">
        <v>34</v>
      </c>
      <c r="B51">
        <v>2022</v>
      </c>
      <c r="C51" t="s">
        <v>41</v>
      </c>
      <c r="D51" s="3">
        <v>160.30000000000001</v>
      </c>
      <c r="E51" s="3">
        <v>206.5</v>
      </c>
      <c r="F51" s="3">
        <v>169.2</v>
      </c>
      <c r="G51" s="3">
        <v>168.1</v>
      </c>
      <c r="H51" s="3">
        <v>192.4</v>
      </c>
      <c r="I51" s="3">
        <v>172.9</v>
      </c>
      <c r="J51" s="3">
        <v>186.7</v>
      </c>
      <c r="K51" s="3">
        <v>167.2</v>
      </c>
      <c r="L51" s="3">
        <v>120.9</v>
      </c>
      <c r="M51" s="3">
        <v>193.6</v>
      </c>
      <c r="N51" s="3">
        <v>168.8</v>
      </c>
      <c r="O51" s="3">
        <v>186.3</v>
      </c>
      <c r="P51" s="3">
        <v>176.3</v>
      </c>
      <c r="Q51" s="3">
        <v>2269.2000000000003</v>
      </c>
      <c r="R51" s="3">
        <v>195</v>
      </c>
      <c r="S51" s="3">
        <v>179.5</v>
      </c>
      <c r="T51" s="3">
        <v>172.7</v>
      </c>
      <c r="U51" s="3">
        <v>178.5</v>
      </c>
      <c r="V51" s="3">
        <v>530.70000000000005</v>
      </c>
      <c r="W51">
        <v>169</v>
      </c>
      <c r="X51" s="3">
        <v>169</v>
      </c>
      <c r="Y51" s="3">
        <v>178.8</v>
      </c>
      <c r="Z51" s="3">
        <v>168.5</v>
      </c>
      <c r="AA51" s="3">
        <v>176.8</v>
      </c>
      <c r="AB51" s="3">
        <v>161.9</v>
      </c>
      <c r="AC51" s="3">
        <v>166.9</v>
      </c>
      <c r="AD51" s="3">
        <v>172.3</v>
      </c>
      <c r="AE51" s="3">
        <v>171.2</v>
      </c>
      <c r="AF51" s="3">
        <v>169.1</v>
      </c>
      <c r="AG51" s="3">
        <v>837.6</v>
      </c>
      <c r="AH51" s="3">
        <v>174.3</v>
      </c>
      <c r="AI51" s="10" t="str">
        <f t="shared" si="0"/>
        <v>2022 August</v>
      </c>
    </row>
    <row r="52" spans="1:35">
      <c r="A52" t="s">
        <v>34</v>
      </c>
      <c r="B52">
        <v>2022</v>
      </c>
      <c r="C52" t="s">
        <v>37</v>
      </c>
      <c r="D52" s="3">
        <v>152.9</v>
      </c>
      <c r="E52" s="3">
        <v>211.8</v>
      </c>
      <c r="F52" s="3">
        <v>164.5</v>
      </c>
      <c r="G52" s="3">
        <v>163.9</v>
      </c>
      <c r="H52" s="3">
        <v>199.5</v>
      </c>
      <c r="I52" s="3">
        <v>172.6</v>
      </c>
      <c r="J52" s="3">
        <v>166.2</v>
      </c>
      <c r="K52" s="3">
        <v>164.7</v>
      </c>
      <c r="L52" s="3">
        <v>119</v>
      </c>
      <c r="M52" s="3">
        <v>181.3</v>
      </c>
      <c r="N52" s="3">
        <v>166.2</v>
      </c>
      <c r="O52" s="3">
        <v>180.9</v>
      </c>
      <c r="P52" s="3">
        <v>170.8</v>
      </c>
      <c r="Q52" s="3">
        <v>2214.3000000000002</v>
      </c>
      <c r="R52" s="3">
        <v>193.9</v>
      </c>
      <c r="S52" s="3">
        <v>173.9</v>
      </c>
      <c r="T52" s="3">
        <v>166.5</v>
      </c>
      <c r="U52" s="3">
        <v>172.8</v>
      </c>
      <c r="V52" s="3">
        <v>513.20000000000005</v>
      </c>
      <c r="W52">
        <v>167</v>
      </c>
      <c r="X52" s="3">
        <v>167</v>
      </c>
      <c r="Y52" s="3">
        <v>172.2</v>
      </c>
      <c r="Z52" s="3">
        <v>164</v>
      </c>
      <c r="AA52" s="3">
        <v>174</v>
      </c>
      <c r="AB52" s="3">
        <v>162.6</v>
      </c>
      <c r="AC52" s="3">
        <v>164.4</v>
      </c>
      <c r="AD52" s="3">
        <v>166.9</v>
      </c>
      <c r="AE52" s="3">
        <v>168.8</v>
      </c>
      <c r="AF52" s="3">
        <v>166.8</v>
      </c>
      <c r="AG52" s="3">
        <v>826.59999999999991</v>
      </c>
      <c r="AH52" s="3">
        <v>170.1</v>
      </c>
      <c r="AI52" s="10" t="str">
        <f t="shared" si="0"/>
        <v>2022 April</v>
      </c>
    </row>
    <row r="53" spans="1:35">
      <c r="A53" t="s">
        <v>30</v>
      </c>
      <c r="B53">
        <v>2021</v>
      </c>
      <c r="C53" t="s">
        <v>42</v>
      </c>
      <c r="D53" s="3">
        <v>145.4</v>
      </c>
      <c r="E53" s="3">
        <v>202.1</v>
      </c>
      <c r="F53" s="3">
        <v>172</v>
      </c>
      <c r="G53" s="3">
        <v>158</v>
      </c>
      <c r="H53" s="3">
        <v>195.5</v>
      </c>
      <c r="I53" s="3">
        <v>152.69999999999999</v>
      </c>
      <c r="J53" s="3">
        <v>151.4</v>
      </c>
      <c r="K53" s="3">
        <v>163.9</v>
      </c>
      <c r="L53" s="3">
        <v>119.3</v>
      </c>
      <c r="M53" s="3">
        <v>170.1</v>
      </c>
      <c r="N53" s="3">
        <v>168.3</v>
      </c>
      <c r="O53" s="3">
        <v>172.8</v>
      </c>
      <c r="P53" s="3">
        <v>162.1</v>
      </c>
      <c r="Q53" s="3">
        <v>2133.6</v>
      </c>
      <c r="R53" s="3">
        <v>190.5</v>
      </c>
      <c r="S53" s="3">
        <v>167.7</v>
      </c>
      <c r="T53" s="3">
        <v>163.6</v>
      </c>
      <c r="U53" s="3">
        <v>167.1</v>
      </c>
      <c r="V53" s="3">
        <v>498.4</v>
      </c>
      <c r="W53" t="s">
        <v>32</v>
      </c>
      <c r="X53" s="3">
        <v>161.4</v>
      </c>
      <c r="Y53" s="3">
        <v>163.69999999999999</v>
      </c>
      <c r="Z53" s="3">
        <v>161.30000000000001</v>
      </c>
      <c r="AA53" s="3">
        <v>171.9</v>
      </c>
      <c r="AB53" s="3">
        <v>157.80000000000001</v>
      </c>
      <c r="AC53" s="3">
        <v>162.69999999999999</v>
      </c>
      <c r="AD53" s="3">
        <v>168.5</v>
      </c>
      <c r="AE53" s="3">
        <v>160.19999999999999</v>
      </c>
      <c r="AF53" s="3">
        <v>163.80000000000001</v>
      </c>
      <c r="AG53" s="3">
        <v>805.8</v>
      </c>
      <c r="AH53" s="3">
        <v>164</v>
      </c>
      <c r="AI53" s="10" t="str">
        <f t="shared" si="0"/>
        <v>2021 September</v>
      </c>
    </row>
    <row r="54" spans="1:35">
      <c r="A54" t="s">
        <v>33</v>
      </c>
      <c r="B54">
        <v>2021</v>
      </c>
      <c r="C54" t="s">
        <v>42</v>
      </c>
      <c r="D54" s="3">
        <v>149.30000000000001</v>
      </c>
      <c r="E54" s="3">
        <v>207.4</v>
      </c>
      <c r="F54" s="3">
        <v>174.1</v>
      </c>
      <c r="G54" s="3">
        <v>159.1</v>
      </c>
      <c r="H54" s="3">
        <v>175</v>
      </c>
      <c r="I54" s="3">
        <v>161.19999999999999</v>
      </c>
      <c r="J54" s="3">
        <v>183.5</v>
      </c>
      <c r="K54" s="3">
        <v>164.5</v>
      </c>
      <c r="L54" s="3">
        <v>120.4</v>
      </c>
      <c r="M54" s="3">
        <v>166.2</v>
      </c>
      <c r="N54" s="3">
        <v>154.80000000000001</v>
      </c>
      <c r="O54" s="3">
        <v>175.1</v>
      </c>
      <c r="P54" s="3">
        <v>167.3</v>
      </c>
      <c r="Q54" s="3">
        <v>2157.9</v>
      </c>
      <c r="R54" s="3">
        <v>196.5</v>
      </c>
      <c r="S54" s="3">
        <v>159.80000000000001</v>
      </c>
      <c r="T54" s="3">
        <v>143.6</v>
      </c>
      <c r="U54" s="3">
        <v>157.4</v>
      </c>
      <c r="V54" s="3">
        <v>460.79999999999995</v>
      </c>
      <c r="W54">
        <v>162.1</v>
      </c>
      <c r="X54" s="3">
        <v>162.1</v>
      </c>
      <c r="Y54" s="3">
        <v>160.80000000000001</v>
      </c>
      <c r="Z54" s="3">
        <v>153.30000000000001</v>
      </c>
      <c r="AA54" s="3">
        <v>162.80000000000001</v>
      </c>
      <c r="AB54" s="3">
        <v>150.5</v>
      </c>
      <c r="AC54" s="3">
        <v>153.9</v>
      </c>
      <c r="AD54" s="3">
        <v>160.30000000000001</v>
      </c>
      <c r="AE54" s="3">
        <v>159.6</v>
      </c>
      <c r="AF54" s="3">
        <v>156</v>
      </c>
      <c r="AG54" s="3">
        <v>773.30000000000007</v>
      </c>
      <c r="AH54" s="3">
        <v>162.30000000000001</v>
      </c>
      <c r="AI54" s="10" t="str">
        <f t="shared" si="0"/>
        <v>2021 September</v>
      </c>
    </row>
    <row r="55" spans="1:35">
      <c r="A55" t="s">
        <v>30</v>
      </c>
      <c r="B55">
        <v>2021</v>
      </c>
      <c r="C55" t="s">
        <v>43</v>
      </c>
      <c r="D55" s="3">
        <v>146.1</v>
      </c>
      <c r="E55" s="3">
        <v>202.5</v>
      </c>
      <c r="F55" s="3">
        <v>170.1</v>
      </c>
      <c r="G55" s="3">
        <v>158.4</v>
      </c>
      <c r="H55" s="3">
        <v>198.8</v>
      </c>
      <c r="I55" s="3">
        <v>152.6</v>
      </c>
      <c r="J55" s="3">
        <v>170.4</v>
      </c>
      <c r="K55" s="3">
        <v>165.2</v>
      </c>
      <c r="L55" s="3">
        <v>121.6</v>
      </c>
      <c r="M55" s="3">
        <v>170.6</v>
      </c>
      <c r="N55" s="3">
        <v>168.8</v>
      </c>
      <c r="O55" s="3">
        <v>173.6</v>
      </c>
      <c r="P55" s="3">
        <v>165.5</v>
      </c>
      <c r="Q55" s="3">
        <v>2164.1999999999998</v>
      </c>
      <c r="R55" s="3">
        <v>191.2</v>
      </c>
      <c r="S55" s="3">
        <v>168.9</v>
      </c>
      <c r="T55" s="3">
        <v>164.8</v>
      </c>
      <c r="U55" s="3">
        <v>168.3</v>
      </c>
      <c r="V55" s="3">
        <v>502.00000000000006</v>
      </c>
      <c r="W55" t="s">
        <v>32</v>
      </c>
      <c r="X55" s="3">
        <v>161.4</v>
      </c>
      <c r="Y55" s="3">
        <v>165.5</v>
      </c>
      <c r="Z55" s="3">
        <v>162</v>
      </c>
      <c r="AA55" s="3">
        <v>172.5</v>
      </c>
      <c r="AB55" s="3">
        <v>159.5</v>
      </c>
      <c r="AC55" s="3">
        <v>163.19999999999999</v>
      </c>
      <c r="AD55" s="3">
        <v>169</v>
      </c>
      <c r="AE55" s="3">
        <v>161.1</v>
      </c>
      <c r="AF55" s="3">
        <v>164.7</v>
      </c>
      <c r="AG55" s="3">
        <v>810.5</v>
      </c>
      <c r="AH55" s="3">
        <v>166.3</v>
      </c>
      <c r="AI55" s="10" t="str">
        <f t="shared" si="0"/>
        <v>2021 October</v>
      </c>
    </row>
    <row r="56" spans="1:35">
      <c r="A56" t="s">
        <v>33</v>
      </c>
      <c r="B56">
        <v>2021</v>
      </c>
      <c r="C56" t="s">
        <v>43</v>
      </c>
      <c r="D56" s="3">
        <v>150.1</v>
      </c>
      <c r="E56" s="3">
        <v>208.4</v>
      </c>
      <c r="F56" s="3">
        <v>173</v>
      </c>
      <c r="G56" s="3">
        <v>159.19999999999999</v>
      </c>
      <c r="H56" s="3">
        <v>176.6</v>
      </c>
      <c r="I56" s="3">
        <v>159.30000000000001</v>
      </c>
      <c r="J56" s="3">
        <v>214.4</v>
      </c>
      <c r="K56" s="3">
        <v>165.3</v>
      </c>
      <c r="L56" s="3">
        <v>122.5</v>
      </c>
      <c r="M56" s="3">
        <v>166.8</v>
      </c>
      <c r="N56" s="3">
        <v>155.4</v>
      </c>
      <c r="O56" s="3">
        <v>175.9</v>
      </c>
      <c r="P56" s="3">
        <v>171.5</v>
      </c>
      <c r="Q56" s="3">
        <v>2198.4000000000005</v>
      </c>
      <c r="R56" s="3">
        <v>197</v>
      </c>
      <c r="S56" s="3">
        <v>160.80000000000001</v>
      </c>
      <c r="T56" s="3">
        <v>144.4</v>
      </c>
      <c r="U56" s="3">
        <v>158.30000000000001</v>
      </c>
      <c r="V56" s="3">
        <v>463.50000000000006</v>
      </c>
      <c r="W56">
        <v>163.6</v>
      </c>
      <c r="X56" s="3">
        <v>163.6</v>
      </c>
      <c r="Y56" s="3">
        <v>162.19999999999999</v>
      </c>
      <c r="Z56" s="3">
        <v>154.30000000000001</v>
      </c>
      <c r="AA56" s="3">
        <v>163.5</v>
      </c>
      <c r="AB56" s="3">
        <v>152.19999999999999</v>
      </c>
      <c r="AC56" s="3">
        <v>155.1</v>
      </c>
      <c r="AD56" s="3">
        <v>160.30000000000001</v>
      </c>
      <c r="AE56" s="3">
        <v>160.30000000000001</v>
      </c>
      <c r="AF56" s="3">
        <v>157</v>
      </c>
      <c r="AG56" s="3">
        <v>778.90000000000009</v>
      </c>
      <c r="AH56" s="3">
        <v>164.6</v>
      </c>
      <c r="AI56" s="10" t="str">
        <f t="shared" si="0"/>
        <v>2021 October</v>
      </c>
    </row>
    <row r="57" spans="1:35">
      <c r="A57" t="s">
        <v>30</v>
      </c>
      <c r="B57">
        <v>2021</v>
      </c>
      <c r="C57" t="s">
        <v>45</v>
      </c>
      <c r="D57" s="3">
        <v>146.9</v>
      </c>
      <c r="E57" s="3">
        <v>199.8</v>
      </c>
      <c r="F57" s="3">
        <v>171.5</v>
      </c>
      <c r="G57" s="3">
        <v>159.1</v>
      </c>
      <c r="H57" s="3">
        <v>198.4</v>
      </c>
      <c r="I57" s="3">
        <v>153.19999999999999</v>
      </c>
      <c r="J57" s="3">
        <v>183.9</v>
      </c>
      <c r="K57" s="3">
        <v>165.4</v>
      </c>
      <c r="L57" s="3">
        <v>122.1</v>
      </c>
      <c r="M57" s="3">
        <v>170.8</v>
      </c>
      <c r="N57" s="3">
        <v>169.1</v>
      </c>
      <c r="O57" s="3">
        <v>174.3</v>
      </c>
      <c r="P57" s="3">
        <v>167.5</v>
      </c>
      <c r="Q57" s="3">
        <v>2182</v>
      </c>
      <c r="R57" s="3">
        <v>191.4</v>
      </c>
      <c r="S57" s="3">
        <v>170.4</v>
      </c>
      <c r="T57" s="3">
        <v>166</v>
      </c>
      <c r="U57" s="3">
        <v>169.8</v>
      </c>
      <c r="V57" s="3">
        <v>506.2</v>
      </c>
      <c r="W57" t="s">
        <v>32</v>
      </c>
      <c r="X57" s="3">
        <v>161.4</v>
      </c>
      <c r="Y57" s="3">
        <v>165.3</v>
      </c>
      <c r="Z57" s="3">
        <v>162.9</v>
      </c>
      <c r="AA57" s="3">
        <v>173.4</v>
      </c>
      <c r="AB57" s="3">
        <v>158.9</v>
      </c>
      <c r="AC57" s="3">
        <v>163.80000000000001</v>
      </c>
      <c r="AD57" s="3">
        <v>169.3</v>
      </c>
      <c r="AE57" s="3">
        <v>162.4</v>
      </c>
      <c r="AF57" s="3">
        <v>165.2</v>
      </c>
      <c r="AG57" s="3">
        <v>813.2</v>
      </c>
      <c r="AH57" s="3">
        <v>167.6</v>
      </c>
      <c r="AI57" s="10" t="str">
        <f t="shared" si="0"/>
        <v>2021 November</v>
      </c>
    </row>
    <row r="58" spans="1:35">
      <c r="A58" t="s">
        <v>33</v>
      </c>
      <c r="B58">
        <v>2021</v>
      </c>
      <c r="C58" t="s">
        <v>45</v>
      </c>
      <c r="D58" s="3">
        <v>151</v>
      </c>
      <c r="E58" s="3">
        <v>204.9</v>
      </c>
      <c r="F58" s="3">
        <v>175.4</v>
      </c>
      <c r="G58" s="3">
        <v>159.6</v>
      </c>
      <c r="H58" s="3">
        <v>175.8</v>
      </c>
      <c r="I58" s="3">
        <v>160.30000000000001</v>
      </c>
      <c r="J58" s="3">
        <v>229.1</v>
      </c>
      <c r="K58" s="3">
        <v>165.1</v>
      </c>
      <c r="L58" s="3">
        <v>123.1</v>
      </c>
      <c r="M58" s="3">
        <v>167.2</v>
      </c>
      <c r="N58" s="3">
        <v>156.1</v>
      </c>
      <c r="O58" s="3">
        <v>176.8</v>
      </c>
      <c r="P58" s="3">
        <v>173.5</v>
      </c>
      <c r="Q58" s="3">
        <v>2217.8999999999996</v>
      </c>
      <c r="R58" s="3">
        <v>197</v>
      </c>
      <c r="S58" s="3">
        <v>162.30000000000001</v>
      </c>
      <c r="T58" s="3">
        <v>145.30000000000001</v>
      </c>
      <c r="U58" s="3">
        <v>159.69999999999999</v>
      </c>
      <c r="V58" s="3">
        <v>467.3</v>
      </c>
      <c r="W58">
        <v>164.2</v>
      </c>
      <c r="X58" s="3">
        <v>164.2</v>
      </c>
      <c r="Y58" s="3">
        <v>161.6</v>
      </c>
      <c r="Z58" s="3">
        <v>155.19999999999999</v>
      </c>
      <c r="AA58" s="3">
        <v>164.2</v>
      </c>
      <c r="AB58" s="3">
        <v>151.19999999999999</v>
      </c>
      <c r="AC58" s="3">
        <v>156.69999999999999</v>
      </c>
      <c r="AD58" s="3">
        <v>160.80000000000001</v>
      </c>
      <c r="AE58" s="3">
        <v>161.80000000000001</v>
      </c>
      <c r="AF58" s="3">
        <v>157.30000000000001</v>
      </c>
      <c r="AG58" s="3">
        <v>782.2</v>
      </c>
      <c r="AH58" s="3">
        <v>165.6</v>
      </c>
      <c r="AI58" s="10" t="str">
        <f t="shared" si="0"/>
        <v>2021 November</v>
      </c>
    </row>
    <row r="59" spans="1:35">
      <c r="A59" t="s">
        <v>30</v>
      </c>
      <c r="B59">
        <v>2021</v>
      </c>
      <c r="C59" t="s">
        <v>38</v>
      </c>
      <c r="D59" s="3">
        <v>145.1</v>
      </c>
      <c r="E59" s="3">
        <v>198.5</v>
      </c>
      <c r="F59" s="3">
        <v>168.6</v>
      </c>
      <c r="G59" s="3">
        <v>155.80000000000001</v>
      </c>
      <c r="H59" s="3">
        <v>184.4</v>
      </c>
      <c r="I59" s="3">
        <v>162.30000000000001</v>
      </c>
      <c r="J59" s="3">
        <v>138.4</v>
      </c>
      <c r="K59" s="3">
        <v>165.1</v>
      </c>
      <c r="L59" s="3">
        <v>114.3</v>
      </c>
      <c r="M59" s="3">
        <v>169.7</v>
      </c>
      <c r="N59" s="3">
        <v>164.6</v>
      </c>
      <c r="O59" s="3">
        <v>169.8</v>
      </c>
      <c r="P59" s="3">
        <v>158.69999999999999</v>
      </c>
      <c r="Q59" s="3">
        <v>2095.2999999999997</v>
      </c>
      <c r="R59" s="3">
        <v>189.6</v>
      </c>
      <c r="S59" s="3">
        <v>165.3</v>
      </c>
      <c r="T59" s="3">
        <v>160.6</v>
      </c>
      <c r="U59" s="3">
        <v>164.5</v>
      </c>
      <c r="V59" s="3">
        <v>490.4</v>
      </c>
      <c r="W59" t="s">
        <v>32</v>
      </c>
      <c r="X59" s="3">
        <v>161.4</v>
      </c>
      <c r="Y59" s="3">
        <v>161.69999999999999</v>
      </c>
      <c r="Z59" s="3">
        <v>158.80000000000001</v>
      </c>
      <c r="AA59" s="3">
        <v>169.1</v>
      </c>
      <c r="AB59" s="3">
        <v>153.19999999999999</v>
      </c>
      <c r="AC59" s="3">
        <v>160</v>
      </c>
      <c r="AD59" s="3">
        <v>167.6</v>
      </c>
      <c r="AE59" s="3">
        <v>159.30000000000001</v>
      </c>
      <c r="AF59" s="3">
        <v>161.1</v>
      </c>
      <c r="AG59" s="3">
        <v>792.4</v>
      </c>
      <c r="AH59" s="3">
        <v>161.1</v>
      </c>
      <c r="AI59" s="10" t="str">
        <f t="shared" si="0"/>
        <v>2021 May</v>
      </c>
    </row>
    <row r="60" spans="1:35">
      <c r="A60" t="s">
        <v>33</v>
      </c>
      <c r="B60">
        <v>2021</v>
      </c>
      <c r="C60" t="s">
        <v>38</v>
      </c>
      <c r="D60" s="3">
        <v>148.80000000000001</v>
      </c>
      <c r="E60" s="3">
        <v>204.3</v>
      </c>
      <c r="F60" s="3">
        <v>173</v>
      </c>
      <c r="G60" s="3">
        <v>156.5</v>
      </c>
      <c r="H60" s="3">
        <v>168.8</v>
      </c>
      <c r="I60" s="3">
        <v>172.5</v>
      </c>
      <c r="J60" s="3">
        <v>166.5</v>
      </c>
      <c r="K60" s="3">
        <v>165.9</v>
      </c>
      <c r="L60" s="3">
        <v>115.9</v>
      </c>
      <c r="M60" s="3">
        <v>165.2</v>
      </c>
      <c r="N60" s="3">
        <v>152</v>
      </c>
      <c r="O60" s="3">
        <v>171.1</v>
      </c>
      <c r="P60" s="3">
        <v>164.2</v>
      </c>
      <c r="Q60" s="3">
        <v>2124.7000000000003</v>
      </c>
      <c r="R60" s="3">
        <v>198.2</v>
      </c>
      <c r="S60" s="3">
        <v>156.5</v>
      </c>
      <c r="T60" s="3">
        <v>140.19999999999999</v>
      </c>
      <c r="U60" s="3">
        <v>154.1</v>
      </c>
      <c r="V60" s="3">
        <v>450.79999999999995</v>
      </c>
      <c r="W60">
        <v>161.6</v>
      </c>
      <c r="X60" s="3">
        <v>161.6</v>
      </c>
      <c r="Y60" s="3">
        <v>155.5</v>
      </c>
      <c r="Z60" s="3">
        <v>150.1</v>
      </c>
      <c r="AA60" s="3">
        <v>160.4</v>
      </c>
      <c r="AB60" s="3">
        <v>145</v>
      </c>
      <c r="AC60" s="3">
        <v>152.6</v>
      </c>
      <c r="AD60" s="3">
        <v>156.6</v>
      </c>
      <c r="AE60" s="3">
        <v>157.5</v>
      </c>
      <c r="AF60" s="3">
        <v>152.30000000000001</v>
      </c>
      <c r="AG60" s="3">
        <v>757.5</v>
      </c>
      <c r="AH60" s="3">
        <v>159.5</v>
      </c>
      <c r="AI60" s="10" t="str">
        <f t="shared" si="0"/>
        <v>2021 May</v>
      </c>
    </row>
    <row r="61" spans="1:35">
      <c r="A61" t="s">
        <v>30</v>
      </c>
      <c r="B61">
        <v>2021</v>
      </c>
      <c r="C61" t="s">
        <v>36</v>
      </c>
      <c r="D61" s="3">
        <v>142.5</v>
      </c>
      <c r="E61" s="3">
        <v>189.4</v>
      </c>
      <c r="F61" s="3">
        <v>163.19999999999999</v>
      </c>
      <c r="G61" s="3">
        <v>154.5</v>
      </c>
      <c r="H61" s="3">
        <v>168.2</v>
      </c>
      <c r="I61" s="3">
        <v>150.5</v>
      </c>
      <c r="J61" s="3">
        <v>141</v>
      </c>
      <c r="K61" s="3">
        <v>159.19999999999999</v>
      </c>
      <c r="L61" s="3">
        <v>111.7</v>
      </c>
      <c r="M61" s="3">
        <v>164</v>
      </c>
      <c r="N61" s="3">
        <v>160.6</v>
      </c>
      <c r="O61" s="3">
        <v>166.4</v>
      </c>
      <c r="P61" s="3">
        <v>154.5</v>
      </c>
      <c r="Q61" s="3">
        <v>2025.7</v>
      </c>
      <c r="R61" s="3">
        <v>186.1</v>
      </c>
      <c r="S61" s="3">
        <v>159.6</v>
      </c>
      <c r="T61" s="3">
        <v>154.4</v>
      </c>
      <c r="U61" s="3">
        <v>158.9</v>
      </c>
      <c r="V61" s="3">
        <v>472.9</v>
      </c>
      <c r="W61" t="s">
        <v>48</v>
      </c>
      <c r="X61" s="3">
        <v>161.4</v>
      </c>
      <c r="Y61" s="3">
        <v>156</v>
      </c>
      <c r="Z61" s="3">
        <v>154.80000000000001</v>
      </c>
      <c r="AA61" s="3">
        <v>164.6</v>
      </c>
      <c r="AB61" s="3">
        <v>151.30000000000001</v>
      </c>
      <c r="AC61" s="3">
        <v>157.80000000000001</v>
      </c>
      <c r="AD61" s="3">
        <v>163.80000000000001</v>
      </c>
      <c r="AE61" s="3">
        <v>153.1</v>
      </c>
      <c r="AF61" s="3">
        <v>157.30000000000001</v>
      </c>
      <c r="AG61" s="3">
        <v>774.3</v>
      </c>
      <c r="AH61" s="3">
        <v>156.69999999999999</v>
      </c>
      <c r="AI61" s="10" t="str">
        <f t="shared" si="0"/>
        <v>2021 March</v>
      </c>
    </row>
    <row r="62" spans="1:35">
      <c r="A62" t="s">
        <v>33</v>
      </c>
      <c r="B62">
        <v>2021</v>
      </c>
      <c r="C62" t="s">
        <v>36</v>
      </c>
      <c r="D62" s="3">
        <v>147.5</v>
      </c>
      <c r="E62" s="3">
        <v>197.5</v>
      </c>
      <c r="F62" s="3">
        <v>164.7</v>
      </c>
      <c r="G62" s="3">
        <v>155.6</v>
      </c>
      <c r="H62" s="3">
        <v>156.4</v>
      </c>
      <c r="I62" s="3">
        <v>157.30000000000001</v>
      </c>
      <c r="J62" s="3">
        <v>166.1</v>
      </c>
      <c r="K62" s="3">
        <v>161.1</v>
      </c>
      <c r="L62" s="3">
        <v>114.3</v>
      </c>
      <c r="M62" s="3">
        <v>162.6</v>
      </c>
      <c r="N62" s="3">
        <v>150.69999999999999</v>
      </c>
      <c r="O62" s="3">
        <v>170.3</v>
      </c>
      <c r="P62" s="3">
        <v>160.4</v>
      </c>
      <c r="Q62" s="3">
        <v>2064.4999999999995</v>
      </c>
      <c r="R62" s="3">
        <v>193.5</v>
      </c>
      <c r="S62" s="3">
        <v>155.1</v>
      </c>
      <c r="T62" s="3">
        <v>138.69999999999999</v>
      </c>
      <c r="U62" s="3">
        <v>152.6</v>
      </c>
      <c r="V62" s="3">
        <v>446.4</v>
      </c>
      <c r="W62">
        <v>159.9</v>
      </c>
      <c r="X62" s="3">
        <v>159.9</v>
      </c>
      <c r="Y62" s="3">
        <v>154.80000000000001</v>
      </c>
      <c r="Z62" s="3">
        <v>147.19999999999999</v>
      </c>
      <c r="AA62" s="3">
        <v>156.9</v>
      </c>
      <c r="AB62" s="3">
        <v>141.69999999999999</v>
      </c>
      <c r="AC62" s="3">
        <v>148.6</v>
      </c>
      <c r="AD62" s="3">
        <v>157.6</v>
      </c>
      <c r="AE62" s="3">
        <v>154.9</v>
      </c>
      <c r="AF62" s="3">
        <v>150</v>
      </c>
      <c r="AG62" s="3">
        <v>742.4</v>
      </c>
      <c r="AH62" s="3">
        <v>156.9</v>
      </c>
      <c r="AI62" s="10" t="str">
        <f t="shared" si="0"/>
        <v>2021 March</v>
      </c>
    </row>
    <row r="63" spans="1:35">
      <c r="A63" t="s">
        <v>30</v>
      </c>
      <c r="B63">
        <v>2021</v>
      </c>
      <c r="C63" t="s">
        <v>39</v>
      </c>
      <c r="D63" s="3">
        <v>145.6</v>
      </c>
      <c r="E63" s="3">
        <v>200.1</v>
      </c>
      <c r="F63" s="3">
        <v>179.3</v>
      </c>
      <c r="G63" s="3">
        <v>156.1</v>
      </c>
      <c r="H63" s="3">
        <v>190.4</v>
      </c>
      <c r="I63" s="3">
        <v>158.6</v>
      </c>
      <c r="J63" s="3">
        <v>144.69999999999999</v>
      </c>
      <c r="K63" s="3">
        <v>165.5</v>
      </c>
      <c r="L63" s="3">
        <v>114.6</v>
      </c>
      <c r="M63" s="3">
        <v>170</v>
      </c>
      <c r="N63" s="3">
        <v>165.5</v>
      </c>
      <c r="O63" s="3">
        <v>171.7</v>
      </c>
      <c r="P63" s="3">
        <v>160.5</v>
      </c>
      <c r="Q63" s="3">
        <v>2122.6</v>
      </c>
      <c r="R63" s="3">
        <v>189.1</v>
      </c>
      <c r="S63" s="3">
        <v>165.3</v>
      </c>
      <c r="T63" s="3">
        <v>159.9</v>
      </c>
      <c r="U63" s="3">
        <v>164.6</v>
      </c>
      <c r="V63" s="3">
        <v>489.80000000000007</v>
      </c>
      <c r="W63" t="s">
        <v>32</v>
      </c>
      <c r="X63" s="3">
        <v>161.4</v>
      </c>
      <c r="Y63" s="3">
        <v>162.1</v>
      </c>
      <c r="Z63" s="3">
        <v>159.19999999999999</v>
      </c>
      <c r="AA63" s="3">
        <v>169.7</v>
      </c>
      <c r="AB63" s="3">
        <v>154.19999999999999</v>
      </c>
      <c r="AC63" s="3">
        <v>160.4</v>
      </c>
      <c r="AD63" s="3">
        <v>166.8</v>
      </c>
      <c r="AE63" s="3">
        <v>159.4</v>
      </c>
      <c r="AF63" s="3">
        <v>161.5</v>
      </c>
      <c r="AG63" s="3">
        <v>794.69999999999993</v>
      </c>
      <c r="AH63" s="3">
        <v>162.1</v>
      </c>
      <c r="AI63" s="10" t="str">
        <f t="shared" si="0"/>
        <v>2021 June</v>
      </c>
    </row>
    <row r="64" spans="1:35">
      <c r="A64" t="s">
        <v>33</v>
      </c>
      <c r="B64">
        <v>2021</v>
      </c>
      <c r="C64" t="s">
        <v>39</v>
      </c>
      <c r="D64" s="3">
        <v>149.19999999999999</v>
      </c>
      <c r="E64" s="3">
        <v>205.5</v>
      </c>
      <c r="F64" s="3">
        <v>182.8</v>
      </c>
      <c r="G64" s="3">
        <v>156.5</v>
      </c>
      <c r="H64" s="3">
        <v>172.2</v>
      </c>
      <c r="I64" s="3">
        <v>171.5</v>
      </c>
      <c r="J64" s="3">
        <v>176.2</v>
      </c>
      <c r="K64" s="3">
        <v>166.9</v>
      </c>
      <c r="L64" s="3">
        <v>116.1</v>
      </c>
      <c r="M64" s="3">
        <v>165.5</v>
      </c>
      <c r="N64" s="3">
        <v>152.30000000000001</v>
      </c>
      <c r="O64" s="3">
        <v>173.3</v>
      </c>
      <c r="P64" s="3">
        <v>166.2</v>
      </c>
      <c r="Q64" s="3">
        <v>2154.1999999999998</v>
      </c>
      <c r="R64" s="3">
        <v>195.6</v>
      </c>
      <c r="S64" s="3">
        <v>157.30000000000001</v>
      </c>
      <c r="T64" s="3">
        <v>140.5</v>
      </c>
      <c r="U64" s="3">
        <v>154.80000000000001</v>
      </c>
      <c r="V64" s="3">
        <v>452.6</v>
      </c>
      <c r="W64">
        <v>160.5</v>
      </c>
      <c r="X64" s="3">
        <v>160.5</v>
      </c>
      <c r="Y64" s="3">
        <v>156.1</v>
      </c>
      <c r="Z64" s="3">
        <v>149.80000000000001</v>
      </c>
      <c r="AA64" s="3">
        <v>160.80000000000001</v>
      </c>
      <c r="AB64" s="3">
        <v>147.5</v>
      </c>
      <c r="AC64" s="3">
        <v>150.69999999999999</v>
      </c>
      <c r="AD64" s="3">
        <v>158.1</v>
      </c>
      <c r="AE64" s="3">
        <v>158</v>
      </c>
      <c r="AF64" s="3">
        <v>153.4</v>
      </c>
      <c r="AG64" s="3">
        <v>759.4</v>
      </c>
      <c r="AH64" s="3">
        <v>160.4</v>
      </c>
      <c r="AI64" s="10" t="str">
        <f t="shared" si="0"/>
        <v>2021 June</v>
      </c>
    </row>
    <row r="65" spans="1:35">
      <c r="A65" t="s">
        <v>30</v>
      </c>
      <c r="B65">
        <v>2021</v>
      </c>
      <c r="C65" t="s">
        <v>40</v>
      </c>
      <c r="D65" s="3">
        <v>145.1</v>
      </c>
      <c r="E65" s="3">
        <v>204.5</v>
      </c>
      <c r="F65" s="3">
        <v>180.4</v>
      </c>
      <c r="G65" s="3">
        <v>157.1</v>
      </c>
      <c r="H65" s="3">
        <v>188.7</v>
      </c>
      <c r="I65" s="3">
        <v>157.69999999999999</v>
      </c>
      <c r="J65" s="3">
        <v>152.80000000000001</v>
      </c>
      <c r="K65" s="3">
        <v>163.6</v>
      </c>
      <c r="L65" s="3">
        <v>113.9</v>
      </c>
      <c r="M65" s="3">
        <v>169.7</v>
      </c>
      <c r="N65" s="3">
        <v>166.2</v>
      </c>
      <c r="O65" s="3">
        <v>171</v>
      </c>
      <c r="P65" s="3">
        <v>161.69999999999999</v>
      </c>
      <c r="Q65" s="3">
        <v>2132.4</v>
      </c>
      <c r="R65" s="3">
        <v>189.7</v>
      </c>
      <c r="S65" s="3">
        <v>166</v>
      </c>
      <c r="T65" s="3">
        <v>161.1</v>
      </c>
      <c r="U65" s="3">
        <v>165.3</v>
      </c>
      <c r="V65" s="3">
        <v>492.40000000000003</v>
      </c>
      <c r="W65" t="s">
        <v>32</v>
      </c>
      <c r="X65" s="3">
        <v>161.4</v>
      </c>
      <c r="Y65" s="3">
        <v>162.5</v>
      </c>
      <c r="Z65" s="3">
        <v>160.30000000000001</v>
      </c>
      <c r="AA65" s="3">
        <v>170.4</v>
      </c>
      <c r="AB65" s="3">
        <v>157.1</v>
      </c>
      <c r="AC65" s="3">
        <v>160.69999999999999</v>
      </c>
      <c r="AD65" s="3">
        <v>167.2</v>
      </c>
      <c r="AE65" s="3">
        <v>160.4</v>
      </c>
      <c r="AF65" s="3">
        <v>162.80000000000001</v>
      </c>
      <c r="AG65" s="3">
        <v>801.3</v>
      </c>
      <c r="AH65" s="3">
        <v>163.19999999999999</v>
      </c>
      <c r="AI65" s="10" t="str">
        <f t="shared" si="0"/>
        <v>2021 July</v>
      </c>
    </row>
    <row r="66" spans="1:35">
      <c r="A66" t="s">
        <v>33</v>
      </c>
      <c r="B66">
        <v>2021</v>
      </c>
      <c r="C66" t="s">
        <v>40</v>
      </c>
      <c r="D66" s="3">
        <v>149.1</v>
      </c>
      <c r="E66" s="3">
        <v>210.9</v>
      </c>
      <c r="F66" s="3">
        <v>185</v>
      </c>
      <c r="G66" s="3">
        <v>158.19999999999999</v>
      </c>
      <c r="H66" s="3">
        <v>170.6</v>
      </c>
      <c r="I66" s="3">
        <v>170.9</v>
      </c>
      <c r="J66" s="3">
        <v>186.4</v>
      </c>
      <c r="K66" s="3">
        <v>164.7</v>
      </c>
      <c r="L66" s="3">
        <v>115.7</v>
      </c>
      <c r="M66" s="3">
        <v>165.5</v>
      </c>
      <c r="N66" s="3">
        <v>153.4</v>
      </c>
      <c r="O66" s="3">
        <v>173.5</v>
      </c>
      <c r="P66" s="3">
        <v>167.9</v>
      </c>
      <c r="Q66" s="3">
        <v>2171.8000000000002</v>
      </c>
      <c r="R66" s="3">
        <v>195.5</v>
      </c>
      <c r="S66" s="3">
        <v>157.9</v>
      </c>
      <c r="T66" s="3">
        <v>141.9</v>
      </c>
      <c r="U66" s="3">
        <v>155.5</v>
      </c>
      <c r="V66" s="3">
        <v>455.3</v>
      </c>
      <c r="W66">
        <v>161.5</v>
      </c>
      <c r="X66" s="3">
        <v>161.5</v>
      </c>
      <c r="Y66" s="3">
        <v>157.69999999999999</v>
      </c>
      <c r="Z66" s="3">
        <v>150.69999999999999</v>
      </c>
      <c r="AA66" s="3">
        <v>161.5</v>
      </c>
      <c r="AB66" s="3">
        <v>149.5</v>
      </c>
      <c r="AC66" s="3">
        <v>151.19999999999999</v>
      </c>
      <c r="AD66" s="3">
        <v>160.30000000000001</v>
      </c>
      <c r="AE66" s="3">
        <v>159.6</v>
      </c>
      <c r="AF66" s="3">
        <v>155</v>
      </c>
      <c r="AG66" s="3">
        <v>766</v>
      </c>
      <c r="AH66" s="3">
        <v>161.80000000000001</v>
      </c>
      <c r="AI66" s="10" t="str">
        <f t="shared" ref="AI66:AI129" si="1">CONCATENATE(B66," ",C66)</f>
        <v>2021 July</v>
      </c>
    </row>
    <row r="67" spans="1:35">
      <c r="A67" t="s">
        <v>30</v>
      </c>
      <c r="B67">
        <v>2021</v>
      </c>
      <c r="C67" t="s">
        <v>31</v>
      </c>
      <c r="D67" s="3">
        <v>143.4</v>
      </c>
      <c r="E67" s="3">
        <v>187.5</v>
      </c>
      <c r="F67" s="3">
        <v>173.4</v>
      </c>
      <c r="G67" s="3">
        <v>154</v>
      </c>
      <c r="H67" s="3">
        <v>154.80000000000001</v>
      </c>
      <c r="I67" s="3">
        <v>147</v>
      </c>
      <c r="J67" s="3">
        <v>187.8</v>
      </c>
      <c r="K67" s="3">
        <v>159.5</v>
      </c>
      <c r="L67" s="3">
        <v>113.8</v>
      </c>
      <c r="M67" s="3">
        <v>164.5</v>
      </c>
      <c r="N67" s="3">
        <v>156.1</v>
      </c>
      <c r="O67" s="3">
        <v>164.3</v>
      </c>
      <c r="P67" s="3">
        <v>159.6</v>
      </c>
      <c r="Q67" s="3">
        <v>2065.6999999999998</v>
      </c>
      <c r="R67" s="3">
        <v>184.6</v>
      </c>
      <c r="S67" s="3">
        <v>157.5</v>
      </c>
      <c r="T67" s="3">
        <v>152.4</v>
      </c>
      <c r="U67" s="3">
        <v>156.80000000000001</v>
      </c>
      <c r="V67" s="3">
        <v>466.7</v>
      </c>
      <c r="W67" t="s">
        <v>32</v>
      </c>
      <c r="X67" s="3">
        <v>161.4</v>
      </c>
      <c r="Y67" s="3">
        <v>150.9</v>
      </c>
      <c r="Z67" s="3">
        <v>153.9</v>
      </c>
      <c r="AA67" s="3">
        <v>162.5</v>
      </c>
      <c r="AB67" s="3">
        <v>147.5</v>
      </c>
      <c r="AC67" s="3">
        <v>155.1</v>
      </c>
      <c r="AD67" s="3">
        <v>163.5</v>
      </c>
      <c r="AE67" s="3">
        <v>156.19999999999999</v>
      </c>
      <c r="AF67" s="3">
        <v>155.9</v>
      </c>
      <c r="AG67" s="3">
        <v>768.6</v>
      </c>
      <c r="AH67" s="3">
        <v>158.5</v>
      </c>
      <c r="AI67" s="10" t="str">
        <f t="shared" si="1"/>
        <v>2021 January</v>
      </c>
    </row>
    <row r="68" spans="1:35">
      <c r="A68" t="s">
        <v>33</v>
      </c>
      <c r="B68">
        <v>2021</v>
      </c>
      <c r="C68" t="s">
        <v>31</v>
      </c>
      <c r="D68" s="3">
        <v>148</v>
      </c>
      <c r="E68" s="3">
        <v>194.8</v>
      </c>
      <c r="F68" s="3">
        <v>178.4</v>
      </c>
      <c r="G68" s="3">
        <v>154.4</v>
      </c>
      <c r="H68" s="3">
        <v>144.1</v>
      </c>
      <c r="I68" s="3">
        <v>152.6</v>
      </c>
      <c r="J68" s="3">
        <v>206.8</v>
      </c>
      <c r="K68" s="3">
        <v>162.1</v>
      </c>
      <c r="L68" s="3">
        <v>116.3</v>
      </c>
      <c r="M68" s="3">
        <v>163</v>
      </c>
      <c r="N68" s="3">
        <v>145.9</v>
      </c>
      <c r="O68" s="3">
        <v>167.2</v>
      </c>
      <c r="P68" s="3">
        <v>163.4</v>
      </c>
      <c r="Q68" s="3">
        <v>2097</v>
      </c>
      <c r="R68" s="3">
        <v>191.8</v>
      </c>
      <c r="S68" s="3">
        <v>152.5</v>
      </c>
      <c r="T68" s="3">
        <v>137.30000000000001</v>
      </c>
      <c r="U68" s="3">
        <v>150.19999999999999</v>
      </c>
      <c r="V68" s="3">
        <v>440</v>
      </c>
      <c r="W68">
        <v>157.69999999999999</v>
      </c>
      <c r="X68" s="3">
        <v>157.69999999999999</v>
      </c>
      <c r="Y68" s="3">
        <v>142.9</v>
      </c>
      <c r="Z68" s="3">
        <v>145.69999999999999</v>
      </c>
      <c r="AA68" s="3">
        <v>154.1</v>
      </c>
      <c r="AB68" s="3">
        <v>136.9</v>
      </c>
      <c r="AC68" s="3">
        <v>145.4</v>
      </c>
      <c r="AD68" s="3">
        <v>156.1</v>
      </c>
      <c r="AE68" s="3">
        <v>157.69999999999999</v>
      </c>
      <c r="AF68" s="3">
        <v>147.6</v>
      </c>
      <c r="AG68" s="3">
        <v>733.30000000000007</v>
      </c>
      <c r="AH68" s="3">
        <v>156</v>
      </c>
      <c r="AI68" s="10" t="str">
        <f t="shared" si="1"/>
        <v>2021 January</v>
      </c>
    </row>
    <row r="69" spans="1:35">
      <c r="A69" t="s">
        <v>30</v>
      </c>
      <c r="B69">
        <v>2021</v>
      </c>
      <c r="C69" t="s">
        <v>35</v>
      </c>
      <c r="D69" s="3">
        <v>142.80000000000001</v>
      </c>
      <c r="E69" s="3">
        <v>184</v>
      </c>
      <c r="F69" s="3">
        <v>168</v>
      </c>
      <c r="G69" s="3">
        <v>154.4</v>
      </c>
      <c r="H69" s="3">
        <v>163</v>
      </c>
      <c r="I69" s="3">
        <v>147.80000000000001</v>
      </c>
      <c r="J69" s="3">
        <v>149.69999999999999</v>
      </c>
      <c r="K69" s="3">
        <v>158.30000000000001</v>
      </c>
      <c r="L69" s="3">
        <v>111.8</v>
      </c>
      <c r="M69" s="3">
        <v>165</v>
      </c>
      <c r="N69" s="3">
        <v>160</v>
      </c>
      <c r="O69" s="3">
        <v>165.8</v>
      </c>
      <c r="P69" s="3">
        <v>154.69999999999999</v>
      </c>
      <c r="Q69" s="3">
        <v>2025.3</v>
      </c>
      <c r="R69" s="3">
        <v>186.5</v>
      </c>
      <c r="S69" s="3">
        <v>159.1</v>
      </c>
      <c r="T69" s="3">
        <v>153.9</v>
      </c>
      <c r="U69" s="3">
        <v>158.4</v>
      </c>
      <c r="V69" s="3">
        <v>471.4</v>
      </c>
      <c r="W69" t="s">
        <v>32</v>
      </c>
      <c r="X69" s="3">
        <v>161.4</v>
      </c>
      <c r="Y69" s="3">
        <v>154.4</v>
      </c>
      <c r="Z69" s="3">
        <v>154.80000000000001</v>
      </c>
      <c r="AA69" s="3">
        <v>164.3</v>
      </c>
      <c r="AB69" s="3">
        <v>150.19999999999999</v>
      </c>
      <c r="AC69" s="3">
        <v>157</v>
      </c>
      <c r="AD69" s="3">
        <v>163.6</v>
      </c>
      <c r="AE69" s="3">
        <v>155.19999999999999</v>
      </c>
      <c r="AF69" s="3">
        <v>157.19999999999999</v>
      </c>
      <c r="AG69" s="3">
        <v>774.40000000000009</v>
      </c>
      <c r="AH69" s="3">
        <v>156.69999999999999</v>
      </c>
      <c r="AI69" s="10" t="str">
        <f t="shared" si="1"/>
        <v>2021 February</v>
      </c>
    </row>
    <row r="70" spans="1:35">
      <c r="A70" t="s">
        <v>33</v>
      </c>
      <c r="B70">
        <v>2021</v>
      </c>
      <c r="C70" t="s">
        <v>35</v>
      </c>
      <c r="D70" s="3">
        <v>147.6</v>
      </c>
      <c r="E70" s="3">
        <v>191.2</v>
      </c>
      <c r="F70" s="3">
        <v>169.9</v>
      </c>
      <c r="G70" s="3">
        <v>155.1</v>
      </c>
      <c r="H70" s="3">
        <v>151.4</v>
      </c>
      <c r="I70" s="3">
        <v>154</v>
      </c>
      <c r="J70" s="3">
        <v>180.2</v>
      </c>
      <c r="K70" s="3">
        <v>159.80000000000001</v>
      </c>
      <c r="L70" s="3">
        <v>114.9</v>
      </c>
      <c r="M70" s="3">
        <v>162.5</v>
      </c>
      <c r="N70" s="3">
        <v>149.19999999999999</v>
      </c>
      <c r="O70" s="3">
        <v>169.4</v>
      </c>
      <c r="P70" s="3">
        <v>160.80000000000001</v>
      </c>
      <c r="Q70" s="3">
        <v>2066</v>
      </c>
      <c r="R70" s="3">
        <v>193.3</v>
      </c>
      <c r="S70" s="3">
        <v>154.19999999999999</v>
      </c>
      <c r="T70" s="3">
        <v>138.19999999999999</v>
      </c>
      <c r="U70" s="3">
        <v>151.80000000000001</v>
      </c>
      <c r="V70" s="3">
        <v>444.2</v>
      </c>
      <c r="W70">
        <v>159.80000000000001</v>
      </c>
      <c r="X70" s="3">
        <v>159.80000000000001</v>
      </c>
      <c r="Y70" s="3">
        <v>149.1</v>
      </c>
      <c r="Z70" s="3">
        <v>146.5</v>
      </c>
      <c r="AA70" s="3">
        <v>156.30000000000001</v>
      </c>
      <c r="AB70" s="3">
        <v>140.5</v>
      </c>
      <c r="AC70" s="3">
        <v>147.30000000000001</v>
      </c>
      <c r="AD70" s="3">
        <v>156.6</v>
      </c>
      <c r="AE70" s="3">
        <v>156.69999999999999</v>
      </c>
      <c r="AF70" s="3">
        <v>149.30000000000001</v>
      </c>
      <c r="AG70" s="3">
        <v>740.3</v>
      </c>
      <c r="AH70" s="3">
        <v>156.5</v>
      </c>
      <c r="AI70" s="10" t="str">
        <f t="shared" si="1"/>
        <v>2021 February</v>
      </c>
    </row>
    <row r="71" spans="1:35">
      <c r="A71" t="s">
        <v>30</v>
      </c>
      <c r="B71">
        <v>2021</v>
      </c>
      <c r="C71" t="s">
        <v>46</v>
      </c>
      <c r="D71" s="3">
        <v>147.4</v>
      </c>
      <c r="E71" s="3">
        <v>197</v>
      </c>
      <c r="F71" s="3">
        <v>176.5</v>
      </c>
      <c r="G71" s="3">
        <v>159.80000000000001</v>
      </c>
      <c r="H71" s="3">
        <v>195.8</v>
      </c>
      <c r="I71" s="3">
        <v>152</v>
      </c>
      <c r="J71" s="3">
        <v>172.3</v>
      </c>
      <c r="K71" s="3">
        <v>164.5</v>
      </c>
      <c r="L71" s="3">
        <v>120.6</v>
      </c>
      <c r="M71" s="3">
        <v>171.7</v>
      </c>
      <c r="N71" s="3">
        <v>169.7</v>
      </c>
      <c r="O71" s="3">
        <v>175.1</v>
      </c>
      <c r="P71" s="3">
        <v>165.8</v>
      </c>
      <c r="Q71" s="3">
        <v>2168.1999999999998</v>
      </c>
      <c r="R71" s="3">
        <v>190.8</v>
      </c>
      <c r="S71" s="3">
        <v>171.8</v>
      </c>
      <c r="T71" s="3">
        <v>167.3</v>
      </c>
      <c r="U71" s="3">
        <v>171.2</v>
      </c>
      <c r="V71" s="3">
        <v>510.3</v>
      </c>
      <c r="W71" t="s">
        <v>32</v>
      </c>
      <c r="X71" s="3">
        <v>161.4</v>
      </c>
      <c r="Y71" s="3">
        <v>165.6</v>
      </c>
      <c r="Z71" s="3">
        <v>163.9</v>
      </c>
      <c r="AA71" s="3">
        <v>174</v>
      </c>
      <c r="AB71" s="3">
        <v>160.1</v>
      </c>
      <c r="AC71" s="3">
        <v>164.5</v>
      </c>
      <c r="AD71" s="3">
        <v>169.7</v>
      </c>
      <c r="AE71" s="3">
        <v>162.80000000000001</v>
      </c>
      <c r="AF71" s="3">
        <v>166</v>
      </c>
      <c r="AG71" s="3">
        <v>817.3</v>
      </c>
      <c r="AH71" s="3">
        <v>167</v>
      </c>
      <c r="AI71" s="10" t="str">
        <f t="shared" si="1"/>
        <v>2021 December</v>
      </c>
    </row>
    <row r="72" spans="1:35">
      <c r="A72" t="s">
        <v>33</v>
      </c>
      <c r="B72">
        <v>2021</v>
      </c>
      <c r="C72" t="s">
        <v>46</v>
      </c>
      <c r="D72" s="3">
        <v>151.6</v>
      </c>
      <c r="E72" s="3">
        <v>202.2</v>
      </c>
      <c r="F72" s="3">
        <v>180</v>
      </c>
      <c r="G72" s="3">
        <v>160</v>
      </c>
      <c r="H72" s="3">
        <v>173.5</v>
      </c>
      <c r="I72" s="3">
        <v>158.30000000000001</v>
      </c>
      <c r="J72" s="3">
        <v>219.5</v>
      </c>
      <c r="K72" s="3">
        <v>164.2</v>
      </c>
      <c r="L72" s="3">
        <v>121.9</v>
      </c>
      <c r="M72" s="3">
        <v>168.2</v>
      </c>
      <c r="N72" s="3">
        <v>156.5</v>
      </c>
      <c r="O72" s="3">
        <v>178.2</v>
      </c>
      <c r="P72" s="3">
        <v>172.2</v>
      </c>
      <c r="Q72" s="3">
        <v>2206.3000000000002</v>
      </c>
      <c r="R72" s="3">
        <v>196.8</v>
      </c>
      <c r="S72" s="3">
        <v>163.30000000000001</v>
      </c>
      <c r="T72" s="3">
        <v>146.69999999999999</v>
      </c>
      <c r="U72" s="3">
        <v>160.69999999999999</v>
      </c>
      <c r="V72" s="3">
        <v>470.7</v>
      </c>
      <c r="W72">
        <v>163.4</v>
      </c>
      <c r="X72" s="3">
        <v>163.4</v>
      </c>
      <c r="Y72" s="3">
        <v>161.69999999999999</v>
      </c>
      <c r="Z72" s="3">
        <v>156</v>
      </c>
      <c r="AA72" s="3">
        <v>165.1</v>
      </c>
      <c r="AB72" s="3">
        <v>151.80000000000001</v>
      </c>
      <c r="AC72" s="3">
        <v>157.6</v>
      </c>
      <c r="AD72" s="3">
        <v>160.6</v>
      </c>
      <c r="AE72" s="3">
        <v>162.4</v>
      </c>
      <c r="AF72" s="3">
        <v>157.80000000000001</v>
      </c>
      <c r="AG72" s="3">
        <v>785.59999999999991</v>
      </c>
      <c r="AH72" s="3">
        <v>165.2</v>
      </c>
      <c r="AI72" s="10" t="str">
        <f t="shared" si="1"/>
        <v>2021 December</v>
      </c>
    </row>
    <row r="73" spans="1:35">
      <c r="A73" t="s">
        <v>30</v>
      </c>
      <c r="B73">
        <v>2021</v>
      </c>
      <c r="C73" t="s">
        <v>41</v>
      </c>
      <c r="D73" s="3">
        <v>144.9</v>
      </c>
      <c r="E73" s="3">
        <v>202.3</v>
      </c>
      <c r="F73" s="3">
        <v>176.5</v>
      </c>
      <c r="G73" s="3">
        <v>157.5</v>
      </c>
      <c r="H73" s="3">
        <v>190.9</v>
      </c>
      <c r="I73" s="3">
        <v>155.69999999999999</v>
      </c>
      <c r="J73" s="3">
        <v>153.9</v>
      </c>
      <c r="K73" s="3">
        <v>162.80000000000001</v>
      </c>
      <c r="L73" s="3">
        <v>115.2</v>
      </c>
      <c r="M73" s="3">
        <v>169.8</v>
      </c>
      <c r="N73" s="3">
        <v>167.6</v>
      </c>
      <c r="O73" s="3">
        <v>171.9</v>
      </c>
      <c r="P73" s="3">
        <v>161.80000000000001</v>
      </c>
      <c r="Q73" s="3">
        <v>2130.8000000000002</v>
      </c>
      <c r="R73" s="3">
        <v>190.2</v>
      </c>
      <c r="S73" s="3">
        <v>167</v>
      </c>
      <c r="T73" s="3">
        <v>162.6</v>
      </c>
      <c r="U73" s="3">
        <v>166.3</v>
      </c>
      <c r="V73" s="3">
        <v>495.90000000000003</v>
      </c>
      <c r="W73" t="s">
        <v>32</v>
      </c>
      <c r="X73" s="3">
        <v>161.4</v>
      </c>
      <c r="Y73" s="3">
        <v>163.1</v>
      </c>
      <c r="Z73" s="3">
        <v>160.9</v>
      </c>
      <c r="AA73" s="3">
        <v>171.1</v>
      </c>
      <c r="AB73" s="3">
        <v>157.69999999999999</v>
      </c>
      <c r="AC73" s="3">
        <v>161.1</v>
      </c>
      <c r="AD73" s="3">
        <v>167.5</v>
      </c>
      <c r="AE73" s="3">
        <v>160.30000000000001</v>
      </c>
      <c r="AF73" s="3">
        <v>163.30000000000001</v>
      </c>
      <c r="AG73" s="3">
        <v>803.3</v>
      </c>
      <c r="AH73" s="3">
        <v>163.6</v>
      </c>
      <c r="AI73" s="10" t="str">
        <f t="shared" si="1"/>
        <v>2021 August</v>
      </c>
    </row>
    <row r="74" spans="1:35">
      <c r="A74" t="s">
        <v>33</v>
      </c>
      <c r="B74">
        <v>2021</v>
      </c>
      <c r="C74" t="s">
        <v>41</v>
      </c>
      <c r="D74" s="3">
        <v>149.30000000000001</v>
      </c>
      <c r="E74" s="3">
        <v>207.4</v>
      </c>
      <c r="F74" s="3">
        <v>174.1</v>
      </c>
      <c r="G74" s="3">
        <v>159.19999999999999</v>
      </c>
      <c r="H74" s="3">
        <v>175</v>
      </c>
      <c r="I74" s="3">
        <v>161.30000000000001</v>
      </c>
      <c r="J74" s="3">
        <v>183.3</v>
      </c>
      <c r="K74" s="3">
        <v>164.5</v>
      </c>
      <c r="L74" s="3">
        <v>120.4</v>
      </c>
      <c r="M74" s="3">
        <v>166.2</v>
      </c>
      <c r="N74" s="3">
        <v>154.80000000000001</v>
      </c>
      <c r="O74" s="3">
        <v>175.1</v>
      </c>
      <c r="P74" s="3">
        <v>167.3</v>
      </c>
      <c r="Q74" s="3">
        <v>2157.9</v>
      </c>
      <c r="R74" s="3">
        <v>196.5</v>
      </c>
      <c r="S74" s="3">
        <v>159.80000000000001</v>
      </c>
      <c r="T74" s="3">
        <v>143.6</v>
      </c>
      <c r="U74" s="3">
        <v>157.30000000000001</v>
      </c>
      <c r="V74" s="3">
        <v>460.7</v>
      </c>
      <c r="W74">
        <v>162.1</v>
      </c>
      <c r="X74" s="3">
        <v>162.1</v>
      </c>
      <c r="Y74" s="3">
        <v>160.69999999999999</v>
      </c>
      <c r="Z74" s="3">
        <v>153.19999999999999</v>
      </c>
      <c r="AA74" s="3">
        <v>162.80000000000001</v>
      </c>
      <c r="AB74" s="3">
        <v>150.4</v>
      </c>
      <c r="AC74" s="3">
        <v>153.69999999999999</v>
      </c>
      <c r="AD74" s="3">
        <v>160.4</v>
      </c>
      <c r="AE74" s="3">
        <v>159.6</v>
      </c>
      <c r="AF74" s="3">
        <v>156</v>
      </c>
      <c r="AG74" s="3">
        <v>772.9</v>
      </c>
      <c r="AH74" s="3">
        <v>162.30000000000001</v>
      </c>
      <c r="AI74" s="10" t="str">
        <f t="shared" si="1"/>
        <v>2021 August</v>
      </c>
    </row>
    <row r="75" spans="1:35">
      <c r="A75" t="s">
        <v>30</v>
      </c>
      <c r="B75">
        <v>2021</v>
      </c>
      <c r="C75" t="s">
        <v>37</v>
      </c>
      <c r="D75" s="3">
        <v>142.69999999999999</v>
      </c>
      <c r="E75" s="3">
        <v>195.5</v>
      </c>
      <c r="F75" s="3">
        <v>163.4</v>
      </c>
      <c r="G75" s="3">
        <v>155</v>
      </c>
      <c r="H75" s="3">
        <v>175.2</v>
      </c>
      <c r="I75" s="3">
        <v>160.6</v>
      </c>
      <c r="J75" s="3">
        <v>135.1</v>
      </c>
      <c r="K75" s="3">
        <v>161.1</v>
      </c>
      <c r="L75" s="3">
        <v>112.2</v>
      </c>
      <c r="M75" s="3">
        <v>164.4</v>
      </c>
      <c r="N75" s="3">
        <v>161.9</v>
      </c>
      <c r="O75" s="3">
        <v>166.8</v>
      </c>
      <c r="P75" s="3">
        <v>155.6</v>
      </c>
      <c r="Q75" s="3">
        <v>2049.5</v>
      </c>
      <c r="R75" s="3">
        <v>186.8</v>
      </c>
      <c r="S75" s="3">
        <v>160.69999999999999</v>
      </c>
      <c r="T75" s="3">
        <v>155.1</v>
      </c>
      <c r="U75" s="3">
        <v>159.9</v>
      </c>
      <c r="V75" s="3">
        <v>475.69999999999993</v>
      </c>
      <c r="W75" t="s">
        <v>48</v>
      </c>
      <c r="X75" s="3">
        <v>161.4</v>
      </c>
      <c r="Y75" s="3">
        <v>156</v>
      </c>
      <c r="Z75" s="3">
        <v>155.5</v>
      </c>
      <c r="AA75" s="3">
        <v>165.3</v>
      </c>
      <c r="AB75" s="3">
        <v>151.69999999999999</v>
      </c>
      <c r="AC75" s="3">
        <v>158.6</v>
      </c>
      <c r="AD75" s="3">
        <v>164.1</v>
      </c>
      <c r="AE75" s="3">
        <v>154.6</v>
      </c>
      <c r="AF75" s="3">
        <v>158</v>
      </c>
      <c r="AG75" s="3">
        <v>778.4</v>
      </c>
      <c r="AH75" s="3">
        <v>157.6</v>
      </c>
      <c r="AI75" s="10" t="str">
        <f t="shared" si="1"/>
        <v>2021 April</v>
      </c>
    </row>
    <row r="76" spans="1:35">
      <c r="A76" t="s">
        <v>33</v>
      </c>
      <c r="B76">
        <v>2021</v>
      </c>
      <c r="C76" t="s">
        <v>37</v>
      </c>
      <c r="D76" s="3">
        <v>147.6</v>
      </c>
      <c r="E76" s="3">
        <v>202.5</v>
      </c>
      <c r="F76" s="3">
        <v>166.4</v>
      </c>
      <c r="G76" s="3">
        <v>156</v>
      </c>
      <c r="H76" s="3">
        <v>161.4</v>
      </c>
      <c r="I76" s="3">
        <v>168.8</v>
      </c>
      <c r="J76" s="3">
        <v>161.6</v>
      </c>
      <c r="K76" s="3">
        <v>162.80000000000001</v>
      </c>
      <c r="L76" s="3">
        <v>114.8</v>
      </c>
      <c r="M76" s="3">
        <v>162.80000000000001</v>
      </c>
      <c r="N76" s="3">
        <v>151.5</v>
      </c>
      <c r="O76" s="3">
        <v>171.4</v>
      </c>
      <c r="P76" s="3">
        <v>162</v>
      </c>
      <c r="Q76" s="3">
        <v>2089.6</v>
      </c>
      <c r="R76" s="3">
        <v>194.4</v>
      </c>
      <c r="S76" s="3">
        <v>155.9</v>
      </c>
      <c r="T76" s="3">
        <v>139.30000000000001</v>
      </c>
      <c r="U76" s="3">
        <v>153.4</v>
      </c>
      <c r="V76" s="3">
        <v>448.6</v>
      </c>
      <c r="W76">
        <v>161.4</v>
      </c>
      <c r="X76" s="3">
        <v>161.4</v>
      </c>
      <c r="Y76" s="3">
        <v>154.9</v>
      </c>
      <c r="Z76" s="3">
        <v>147.6</v>
      </c>
      <c r="AA76" s="3">
        <v>157.5</v>
      </c>
      <c r="AB76" s="3">
        <v>142.1</v>
      </c>
      <c r="AC76" s="3">
        <v>149.1</v>
      </c>
      <c r="AD76" s="3">
        <v>157.6</v>
      </c>
      <c r="AE76" s="3">
        <v>156.6</v>
      </c>
      <c r="AF76" s="3">
        <v>150.5</v>
      </c>
      <c r="AG76" s="3">
        <v>745.9</v>
      </c>
      <c r="AH76" s="3">
        <v>158</v>
      </c>
      <c r="AI76" s="10" t="str">
        <f t="shared" si="1"/>
        <v>2021 April</v>
      </c>
    </row>
    <row r="77" spans="1:35">
      <c r="A77" t="s">
        <v>34</v>
      </c>
      <c r="B77">
        <v>2021</v>
      </c>
      <c r="C77" t="s">
        <v>42</v>
      </c>
      <c r="D77" s="3">
        <v>146.6</v>
      </c>
      <c r="E77" s="3">
        <v>204</v>
      </c>
      <c r="F77" s="3">
        <v>172.8</v>
      </c>
      <c r="G77" s="3">
        <v>158.4</v>
      </c>
      <c r="H77" s="3">
        <v>188</v>
      </c>
      <c r="I77" s="3">
        <v>156.69999999999999</v>
      </c>
      <c r="J77" s="3">
        <v>162.30000000000001</v>
      </c>
      <c r="K77" s="3">
        <v>164.1</v>
      </c>
      <c r="L77" s="3">
        <v>119.7</v>
      </c>
      <c r="M77" s="3">
        <v>168.8</v>
      </c>
      <c r="N77" s="3">
        <v>162.69999999999999</v>
      </c>
      <c r="O77" s="3">
        <v>173.9</v>
      </c>
      <c r="P77" s="3">
        <v>164</v>
      </c>
      <c r="Q77" s="3">
        <v>2142</v>
      </c>
      <c r="R77" s="3">
        <v>192.1</v>
      </c>
      <c r="S77" s="3">
        <v>164.6</v>
      </c>
      <c r="T77" s="3">
        <v>155.30000000000001</v>
      </c>
      <c r="U77" s="3">
        <v>163.30000000000001</v>
      </c>
      <c r="V77" s="3">
        <v>483.2</v>
      </c>
      <c r="W77">
        <v>162.1</v>
      </c>
      <c r="X77" s="3">
        <v>162.1</v>
      </c>
      <c r="Y77" s="3">
        <v>162.6</v>
      </c>
      <c r="Z77" s="3">
        <v>157.5</v>
      </c>
      <c r="AA77" s="3">
        <v>168.4</v>
      </c>
      <c r="AB77" s="3">
        <v>154</v>
      </c>
      <c r="AC77" s="3">
        <v>157.69999999999999</v>
      </c>
      <c r="AD77" s="3">
        <v>163.69999999999999</v>
      </c>
      <c r="AE77" s="3">
        <v>160</v>
      </c>
      <c r="AF77" s="3">
        <v>160</v>
      </c>
      <c r="AG77" s="3">
        <v>789.2</v>
      </c>
      <c r="AH77" s="3">
        <v>163.19999999999999</v>
      </c>
      <c r="AI77" s="10" t="str">
        <f t="shared" si="1"/>
        <v>2021 September</v>
      </c>
    </row>
    <row r="78" spans="1:35">
      <c r="A78" t="s">
        <v>34</v>
      </c>
      <c r="B78">
        <v>2021</v>
      </c>
      <c r="C78" t="s">
        <v>43</v>
      </c>
      <c r="D78" s="3">
        <v>147.4</v>
      </c>
      <c r="E78" s="3">
        <v>204.6</v>
      </c>
      <c r="F78" s="3">
        <v>171.2</v>
      </c>
      <c r="G78" s="3">
        <v>158.69999999999999</v>
      </c>
      <c r="H78" s="3">
        <v>190.6</v>
      </c>
      <c r="I78" s="3">
        <v>155.69999999999999</v>
      </c>
      <c r="J78" s="3">
        <v>185.3</v>
      </c>
      <c r="K78" s="3">
        <v>165.2</v>
      </c>
      <c r="L78" s="3">
        <v>121.9</v>
      </c>
      <c r="M78" s="3">
        <v>169.3</v>
      </c>
      <c r="N78" s="3">
        <v>163.19999999999999</v>
      </c>
      <c r="O78" s="3">
        <v>174.7</v>
      </c>
      <c r="P78" s="3">
        <v>167.7</v>
      </c>
      <c r="Q78" s="3">
        <v>2175.5</v>
      </c>
      <c r="R78" s="3">
        <v>192.7</v>
      </c>
      <c r="S78" s="3">
        <v>165.7</v>
      </c>
      <c r="T78" s="3">
        <v>156.30000000000001</v>
      </c>
      <c r="U78" s="3">
        <v>164.3</v>
      </c>
      <c r="V78" s="3">
        <v>486.3</v>
      </c>
      <c r="W78">
        <v>163.6</v>
      </c>
      <c r="X78" s="3">
        <v>163.6</v>
      </c>
      <c r="Y78" s="3">
        <v>164.2</v>
      </c>
      <c r="Z78" s="3">
        <v>158.4</v>
      </c>
      <c r="AA78" s="3">
        <v>169.1</v>
      </c>
      <c r="AB78" s="3">
        <v>155.69999999999999</v>
      </c>
      <c r="AC78" s="3">
        <v>158.6</v>
      </c>
      <c r="AD78" s="3">
        <v>163.9</v>
      </c>
      <c r="AE78" s="3">
        <v>160.80000000000001</v>
      </c>
      <c r="AF78" s="3">
        <v>161</v>
      </c>
      <c r="AG78" s="3">
        <v>794.5</v>
      </c>
      <c r="AH78" s="3">
        <v>165.5</v>
      </c>
      <c r="AI78" s="10" t="str">
        <f t="shared" si="1"/>
        <v>2021 October</v>
      </c>
    </row>
    <row r="79" spans="1:35">
      <c r="A79" t="s">
        <v>34</v>
      </c>
      <c r="B79">
        <v>2021</v>
      </c>
      <c r="C79" t="s">
        <v>45</v>
      </c>
      <c r="D79" s="3">
        <v>148.19999999999999</v>
      </c>
      <c r="E79" s="3">
        <v>201.6</v>
      </c>
      <c r="F79" s="3">
        <v>173</v>
      </c>
      <c r="G79" s="3">
        <v>159.30000000000001</v>
      </c>
      <c r="H79" s="3">
        <v>190.1</v>
      </c>
      <c r="I79" s="3">
        <v>156.5</v>
      </c>
      <c r="J79" s="3">
        <v>199.2</v>
      </c>
      <c r="K79" s="3">
        <v>165.3</v>
      </c>
      <c r="L79" s="3">
        <v>122.4</v>
      </c>
      <c r="M79" s="3">
        <v>169.6</v>
      </c>
      <c r="N79" s="3">
        <v>163.69999999999999</v>
      </c>
      <c r="O79" s="3">
        <v>175.5</v>
      </c>
      <c r="P79" s="3">
        <v>169.7</v>
      </c>
      <c r="Q79" s="3">
        <v>2194.1</v>
      </c>
      <c r="R79" s="3">
        <v>192.9</v>
      </c>
      <c r="S79" s="3">
        <v>167.2</v>
      </c>
      <c r="T79" s="3">
        <v>157.4</v>
      </c>
      <c r="U79" s="3">
        <v>165.8</v>
      </c>
      <c r="V79" s="3">
        <v>490.40000000000003</v>
      </c>
      <c r="W79">
        <v>164.2</v>
      </c>
      <c r="X79" s="3">
        <v>164.2</v>
      </c>
      <c r="Y79" s="3">
        <v>163.9</v>
      </c>
      <c r="Z79" s="3">
        <v>159.30000000000001</v>
      </c>
      <c r="AA79" s="3">
        <v>169.9</v>
      </c>
      <c r="AB79" s="3">
        <v>154.80000000000001</v>
      </c>
      <c r="AC79" s="3">
        <v>159.80000000000001</v>
      </c>
      <c r="AD79" s="3">
        <v>164.3</v>
      </c>
      <c r="AE79" s="3">
        <v>162.19999999999999</v>
      </c>
      <c r="AF79" s="3">
        <v>161.4</v>
      </c>
      <c r="AG79" s="3">
        <v>797.5</v>
      </c>
      <c r="AH79" s="3">
        <v>166.7</v>
      </c>
      <c r="AI79" s="10" t="str">
        <f t="shared" si="1"/>
        <v>2021 November</v>
      </c>
    </row>
    <row r="80" spans="1:35">
      <c r="A80" t="s">
        <v>34</v>
      </c>
      <c r="B80">
        <v>2021</v>
      </c>
      <c r="C80" t="s">
        <v>38</v>
      </c>
      <c r="D80" s="3">
        <v>146.30000000000001</v>
      </c>
      <c r="E80" s="3">
        <v>200.5</v>
      </c>
      <c r="F80" s="3">
        <v>170.3</v>
      </c>
      <c r="G80" s="3">
        <v>156.1</v>
      </c>
      <c r="H80" s="3">
        <v>178.7</v>
      </c>
      <c r="I80" s="3">
        <v>167.1</v>
      </c>
      <c r="J80" s="3">
        <v>147.9</v>
      </c>
      <c r="K80" s="3">
        <v>165.4</v>
      </c>
      <c r="L80" s="3">
        <v>114.8</v>
      </c>
      <c r="M80" s="3">
        <v>168.2</v>
      </c>
      <c r="N80" s="3">
        <v>159.30000000000001</v>
      </c>
      <c r="O80" s="3">
        <v>170.4</v>
      </c>
      <c r="P80" s="3">
        <v>160.69999999999999</v>
      </c>
      <c r="Q80" s="3">
        <v>2105.7000000000003</v>
      </c>
      <c r="R80" s="3">
        <v>191.9</v>
      </c>
      <c r="S80" s="3">
        <v>161.80000000000001</v>
      </c>
      <c r="T80" s="3">
        <v>152.1</v>
      </c>
      <c r="U80" s="3">
        <v>160.4</v>
      </c>
      <c r="V80" s="3">
        <v>474.29999999999995</v>
      </c>
      <c r="W80">
        <v>161.6</v>
      </c>
      <c r="X80" s="3">
        <v>161.6</v>
      </c>
      <c r="Y80" s="3">
        <v>159.4</v>
      </c>
      <c r="Z80" s="3">
        <v>154.69999999999999</v>
      </c>
      <c r="AA80" s="3">
        <v>165.8</v>
      </c>
      <c r="AB80" s="3">
        <v>148.9</v>
      </c>
      <c r="AC80" s="3">
        <v>155.80000000000001</v>
      </c>
      <c r="AD80" s="3">
        <v>161.19999999999999</v>
      </c>
      <c r="AE80" s="3">
        <v>158.6</v>
      </c>
      <c r="AF80" s="3">
        <v>156.80000000000001</v>
      </c>
      <c r="AG80" s="3">
        <v>774.8</v>
      </c>
      <c r="AH80" s="3">
        <v>160.4</v>
      </c>
      <c r="AI80" s="10" t="str">
        <f t="shared" si="1"/>
        <v>2021 May</v>
      </c>
    </row>
    <row r="81" spans="1:35">
      <c r="A81" t="s">
        <v>34</v>
      </c>
      <c r="B81">
        <v>2021</v>
      </c>
      <c r="C81" t="s">
        <v>36</v>
      </c>
      <c r="D81" s="3">
        <v>144.1</v>
      </c>
      <c r="E81" s="3">
        <v>192.2</v>
      </c>
      <c r="F81" s="3">
        <v>163.80000000000001</v>
      </c>
      <c r="G81" s="3">
        <v>154.9</v>
      </c>
      <c r="H81" s="3">
        <v>163.9</v>
      </c>
      <c r="I81" s="3">
        <v>153.69999999999999</v>
      </c>
      <c r="J81" s="3">
        <v>149.5</v>
      </c>
      <c r="K81" s="3">
        <v>159.80000000000001</v>
      </c>
      <c r="L81" s="3">
        <v>112.6</v>
      </c>
      <c r="M81" s="3">
        <v>163.5</v>
      </c>
      <c r="N81" s="3">
        <v>156.5</v>
      </c>
      <c r="O81" s="3">
        <v>168.2</v>
      </c>
      <c r="P81" s="3">
        <v>156.69999999999999</v>
      </c>
      <c r="Q81" s="3">
        <v>2039.3999999999999</v>
      </c>
      <c r="R81" s="3">
        <v>188.1</v>
      </c>
      <c r="S81" s="3">
        <v>157.80000000000001</v>
      </c>
      <c r="T81" s="3">
        <v>147.9</v>
      </c>
      <c r="U81" s="3">
        <v>156.4</v>
      </c>
      <c r="V81" s="3">
        <v>462.1</v>
      </c>
      <c r="W81">
        <v>159.9</v>
      </c>
      <c r="X81" s="3">
        <v>159.9</v>
      </c>
      <c r="Y81" s="3">
        <v>155.5</v>
      </c>
      <c r="Z81" s="3">
        <v>151.19999999999999</v>
      </c>
      <c r="AA81" s="3">
        <v>161.69999999999999</v>
      </c>
      <c r="AB81" s="3">
        <v>146.19999999999999</v>
      </c>
      <c r="AC81" s="3">
        <v>152.6</v>
      </c>
      <c r="AD81" s="3">
        <v>160.19999999999999</v>
      </c>
      <c r="AE81" s="3">
        <v>153.80000000000001</v>
      </c>
      <c r="AF81" s="3">
        <v>153.80000000000001</v>
      </c>
      <c r="AG81" s="3">
        <v>757.59999999999991</v>
      </c>
      <c r="AH81" s="3">
        <v>156.80000000000001</v>
      </c>
      <c r="AI81" s="10" t="str">
        <f t="shared" si="1"/>
        <v>2021 March</v>
      </c>
    </row>
    <row r="82" spans="1:35">
      <c r="A82" t="s">
        <v>34</v>
      </c>
      <c r="B82">
        <v>2021</v>
      </c>
      <c r="C82" t="s">
        <v>39</v>
      </c>
      <c r="D82" s="3">
        <v>146.69999999999999</v>
      </c>
      <c r="E82" s="3">
        <v>202</v>
      </c>
      <c r="F82" s="3">
        <v>180.7</v>
      </c>
      <c r="G82" s="3">
        <v>156.19999999999999</v>
      </c>
      <c r="H82" s="3">
        <v>183.7</v>
      </c>
      <c r="I82" s="3">
        <v>164.6</v>
      </c>
      <c r="J82" s="3">
        <v>155.4</v>
      </c>
      <c r="K82" s="3">
        <v>166</v>
      </c>
      <c r="L82" s="3">
        <v>115.1</v>
      </c>
      <c r="M82" s="3">
        <v>168.5</v>
      </c>
      <c r="N82" s="3">
        <v>160</v>
      </c>
      <c r="O82" s="3">
        <v>172.4</v>
      </c>
      <c r="P82" s="3">
        <v>162.6</v>
      </c>
      <c r="Q82" s="3">
        <v>2133.9</v>
      </c>
      <c r="R82" s="3">
        <v>190.8</v>
      </c>
      <c r="S82" s="3">
        <v>162.19999999999999</v>
      </c>
      <c r="T82" s="3">
        <v>151.80000000000001</v>
      </c>
      <c r="U82" s="3">
        <v>160.69999999999999</v>
      </c>
      <c r="V82" s="3">
        <v>474.7</v>
      </c>
      <c r="W82">
        <v>160.5</v>
      </c>
      <c r="X82" s="3">
        <v>160.5</v>
      </c>
      <c r="Y82" s="3">
        <v>159.80000000000001</v>
      </c>
      <c r="Z82" s="3">
        <v>154.80000000000001</v>
      </c>
      <c r="AA82" s="3">
        <v>166.3</v>
      </c>
      <c r="AB82" s="3">
        <v>150.69999999999999</v>
      </c>
      <c r="AC82" s="3">
        <v>154.9</v>
      </c>
      <c r="AD82" s="3">
        <v>161.69999999999999</v>
      </c>
      <c r="AE82" s="3">
        <v>158.80000000000001</v>
      </c>
      <c r="AF82" s="3">
        <v>157.6</v>
      </c>
      <c r="AG82" s="3">
        <v>776.80000000000007</v>
      </c>
      <c r="AH82" s="3">
        <v>161.30000000000001</v>
      </c>
      <c r="AI82" s="10" t="str">
        <f t="shared" si="1"/>
        <v>2021 June</v>
      </c>
    </row>
    <row r="83" spans="1:35">
      <c r="A83" t="s">
        <v>34</v>
      </c>
      <c r="B83">
        <v>2021</v>
      </c>
      <c r="C83" t="s">
        <v>40</v>
      </c>
      <c r="D83" s="3">
        <v>146.4</v>
      </c>
      <c r="E83" s="3">
        <v>206.8</v>
      </c>
      <c r="F83" s="3">
        <v>182.2</v>
      </c>
      <c r="G83" s="3">
        <v>157.5</v>
      </c>
      <c r="H83" s="3">
        <v>182.1</v>
      </c>
      <c r="I83" s="3">
        <v>163.9</v>
      </c>
      <c r="J83" s="3">
        <v>164.2</v>
      </c>
      <c r="K83" s="3">
        <v>164</v>
      </c>
      <c r="L83" s="3">
        <v>114.5</v>
      </c>
      <c r="M83" s="3">
        <v>168.3</v>
      </c>
      <c r="N83" s="3">
        <v>160.9</v>
      </c>
      <c r="O83" s="3">
        <v>172.2</v>
      </c>
      <c r="P83" s="3">
        <v>164</v>
      </c>
      <c r="Q83" s="3">
        <v>2147</v>
      </c>
      <c r="R83" s="3">
        <v>191.2</v>
      </c>
      <c r="S83" s="3">
        <v>162.80000000000001</v>
      </c>
      <c r="T83" s="3">
        <v>153.1</v>
      </c>
      <c r="U83" s="3">
        <v>161.4</v>
      </c>
      <c r="V83" s="3">
        <v>477.29999999999995</v>
      </c>
      <c r="W83">
        <v>161.5</v>
      </c>
      <c r="X83" s="3">
        <v>161.5</v>
      </c>
      <c r="Y83" s="3">
        <v>160.69999999999999</v>
      </c>
      <c r="Z83" s="3">
        <v>155.80000000000001</v>
      </c>
      <c r="AA83" s="3">
        <v>167</v>
      </c>
      <c r="AB83" s="3">
        <v>153.1</v>
      </c>
      <c r="AC83" s="3">
        <v>155.30000000000001</v>
      </c>
      <c r="AD83" s="3">
        <v>163.19999999999999</v>
      </c>
      <c r="AE83" s="3">
        <v>160.1</v>
      </c>
      <c r="AF83" s="3">
        <v>159</v>
      </c>
      <c r="AG83" s="3">
        <v>783.3</v>
      </c>
      <c r="AH83" s="3">
        <v>162.5</v>
      </c>
      <c r="AI83" s="10" t="str">
        <f t="shared" si="1"/>
        <v>2021 July</v>
      </c>
    </row>
    <row r="84" spans="1:35">
      <c r="A84" t="s">
        <v>34</v>
      </c>
      <c r="B84">
        <v>2021</v>
      </c>
      <c r="C84" t="s">
        <v>31</v>
      </c>
      <c r="D84" s="3">
        <v>144.9</v>
      </c>
      <c r="E84" s="3">
        <v>190.1</v>
      </c>
      <c r="F84" s="3">
        <v>175.3</v>
      </c>
      <c r="G84" s="3">
        <v>154.1</v>
      </c>
      <c r="H84" s="3">
        <v>150.9</v>
      </c>
      <c r="I84" s="3">
        <v>149.6</v>
      </c>
      <c r="J84" s="3">
        <v>194.2</v>
      </c>
      <c r="K84" s="3">
        <v>160.4</v>
      </c>
      <c r="L84" s="3">
        <v>114.6</v>
      </c>
      <c r="M84" s="3">
        <v>164</v>
      </c>
      <c r="N84" s="3">
        <v>151.80000000000001</v>
      </c>
      <c r="O84" s="3">
        <v>165.6</v>
      </c>
      <c r="P84" s="3">
        <v>161</v>
      </c>
      <c r="Q84" s="3">
        <v>2076.5</v>
      </c>
      <c r="R84" s="3">
        <v>186.5</v>
      </c>
      <c r="S84" s="3">
        <v>155.5</v>
      </c>
      <c r="T84" s="3">
        <v>146.1</v>
      </c>
      <c r="U84" s="3">
        <v>154.19999999999999</v>
      </c>
      <c r="V84" s="3">
        <v>455.8</v>
      </c>
      <c r="W84">
        <v>157.69999999999999</v>
      </c>
      <c r="X84" s="3">
        <v>157.69999999999999</v>
      </c>
      <c r="Y84" s="3">
        <v>147.9</v>
      </c>
      <c r="Z84" s="3">
        <v>150</v>
      </c>
      <c r="AA84" s="3">
        <v>159.30000000000001</v>
      </c>
      <c r="AB84" s="3">
        <v>141.9</v>
      </c>
      <c r="AC84" s="3">
        <v>149.6</v>
      </c>
      <c r="AD84" s="3">
        <v>159.19999999999999</v>
      </c>
      <c r="AE84" s="3">
        <v>156.80000000000001</v>
      </c>
      <c r="AF84" s="3">
        <v>151.9</v>
      </c>
      <c r="AG84" s="3">
        <v>750.19999999999993</v>
      </c>
      <c r="AH84" s="3">
        <v>157.30000000000001</v>
      </c>
      <c r="AI84" s="10" t="str">
        <f t="shared" si="1"/>
        <v>2021 January</v>
      </c>
    </row>
    <row r="85" spans="1:35">
      <c r="A85" t="s">
        <v>34</v>
      </c>
      <c r="B85">
        <v>2021</v>
      </c>
      <c r="C85" t="s">
        <v>35</v>
      </c>
      <c r="D85" s="3">
        <v>144.30000000000001</v>
      </c>
      <c r="E85" s="3">
        <v>186.5</v>
      </c>
      <c r="F85" s="3">
        <v>168.7</v>
      </c>
      <c r="G85" s="3">
        <v>154.69999999999999</v>
      </c>
      <c r="H85" s="3">
        <v>158.69999999999999</v>
      </c>
      <c r="I85" s="3">
        <v>150.69999999999999</v>
      </c>
      <c r="J85" s="3">
        <v>160</v>
      </c>
      <c r="K85" s="3">
        <v>158.80000000000001</v>
      </c>
      <c r="L85" s="3">
        <v>112.8</v>
      </c>
      <c r="M85" s="3">
        <v>164.2</v>
      </c>
      <c r="N85" s="3">
        <v>155.5</v>
      </c>
      <c r="O85" s="3">
        <v>167.5</v>
      </c>
      <c r="P85" s="3">
        <v>156.9</v>
      </c>
      <c r="Q85" s="3">
        <v>2039.3000000000002</v>
      </c>
      <c r="R85" s="3">
        <v>188.3</v>
      </c>
      <c r="S85" s="3">
        <v>157.19999999999999</v>
      </c>
      <c r="T85" s="3">
        <v>147.4</v>
      </c>
      <c r="U85" s="3">
        <v>155.80000000000001</v>
      </c>
      <c r="V85" s="3">
        <v>460.40000000000003</v>
      </c>
      <c r="W85">
        <v>159.80000000000001</v>
      </c>
      <c r="X85" s="3">
        <v>159.80000000000001</v>
      </c>
      <c r="Y85" s="3">
        <v>152.4</v>
      </c>
      <c r="Z85" s="3">
        <v>150.9</v>
      </c>
      <c r="AA85" s="3">
        <v>161.30000000000001</v>
      </c>
      <c r="AB85" s="3">
        <v>145.1</v>
      </c>
      <c r="AC85" s="3">
        <v>151.5</v>
      </c>
      <c r="AD85" s="3">
        <v>159.5</v>
      </c>
      <c r="AE85" s="3">
        <v>155.80000000000001</v>
      </c>
      <c r="AF85" s="3">
        <v>153.4</v>
      </c>
      <c r="AG85" s="3">
        <v>756.69999999999993</v>
      </c>
      <c r="AH85" s="3">
        <v>156.6</v>
      </c>
      <c r="AI85" s="10" t="str">
        <f t="shared" si="1"/>
        <v>2021 February</v>
      </c>
    </row>
    <row r="86" spans="1:35">
      <c r="A86" t="s">
        <v>34</v>
      </c>
      <c r="B86">
        <v>2021</v>
      </c>
      <c r="C86" t="s">
        <v>46</v>
      </c>
      <c r="D86" s="3">
        <v>148.69999999999999</v>
      </c>
      <c r="E86" s="3">
        <v>198.8</v>
      </c>
      <c r="F86" s="3">
        <v>177.9</v>
      </c>
      <c r="G86" s="3">
        <v>159.9</v>
      </c>
      <c r="H86" s="3">
        <v>187.6</v>
      </c>
      <c r="I86" s="3">
        <v>154.9</v>
      </c>
      <c r="J86" s="3">
        <v>188.3</v>
      </c>
      <c r="K86" s="3">
        <v>164.4</v>
      </c>
      <c r="L86" s="3">
        <v>121</v>
      </c>
      <c r="M86" s="3">
        <v>170.5</v>
      </c>
      <c r="N86" s="3">
        <v>164.2</v>
      </c>
      <c r="O86" s="3">
        <v>176.5</v>
      </c>
      <c r="P86" s="3">
        <v>168.2</v>
      </c>
      <c r="Q86" s="3">
        <v>2180.9</v>
      </c>
      <c r="R86" s="3">
        <v>192.4</v>
      </c>
      <c r="S86" s="3">
        <v>168.5</v>
      </c>
      <c r="T86" s="3">
        <v>158.69999999999999</v>
      </c>
      <c r="U86" s="3">
        <v>167</v>
      </c>
      <c r="V86" s="3">
        <v>494.2</v>
      </c>
      <c r="W86">
        <v>163.4</v>
      </c>
      <c r="X86" s="3">
        <v>163.4</v>
      </c>
      <c r="Y86" s="3">
        <v>164.1</v>
      </c>
      <c r="Z86" s="3">
        <v>160.19999999999999</v>
      </c>
      <c r="AA86" s="3">
        <v>170.6</v>
      </c>
      <c r="AB86" s="3">
        <v>155.69999999999999</v>
      </c>
      <c r="AC86" s="3">
        <v>160.6</v>
      </c>
      <c r="AD86" s="3">
        <v>164.4</v>
      </c>
      <c r="AE86" s="3">
        <v>162.6</v>
      </c>
      <c r="AF86" s="3">
        <v>162</v>
      </c>
      <c r="AG86" s="3">
        <v>801.1</v>
      </c>
      <c r="AH86" s="3">
        <v>166.2</v>
      </c>
      <c r="AI86" s="10" t="str">
        <f t="shared" si="1"/>
        <v>2021 December</v>
      </c>
    </row>
    <row r="87" spans="1:35">
      <c r="A87" t="s">
        <v>34</v>
      </c>
      <c r="B87">
        <v>2021</v>
      </c>
      <c r="C87" t="s">
        <v>41</v>
      </c>
      <c r="D87" s="3">
        <v>146.6</v>
      </c>
      <c r="E87" s="3">
        <v>204</v>
      </c>
      <c r="F87" s="3">
        <v>172.8</v>
      </c>
      <c r="G87" s="3">
        <v>158.4</v>
      </c>
      <c r="H87" s="3">
        <v>188</v>
      </c>
      <c r="I87" s="3">
        <v>156.80000000000001</v>
      </c>
      <c r="J87" s="3">
        <v>162.19999999999999</v>
      </c>
      <c r="K87" s="3">
        <v>164.1</v>
      </c>
      <c r="L87" s="3">
        <v>119.7</v>
      </c>
      <c r="M87" s="3">
        <v>168.8</v>
      </c>
      <c r="N87" s="3">
        <v>162.69999999999999</v>
      </c>
      <c r="O87" s="3">
        <v>173.9</v>
      </c>
      <c r="P87" s="3">
        <v>164</v>
      </c>
      <c r="Q87" s="3">
        <v>2142</v>
      </c>
      <c r="R87" s="3">
        <v>192.1</v>
      </c>
      <c r="S87" s="3">
        <v>164.5</v>
      </c>
      <c r="T87" s="3">
        <v>155.30000000000001</v>
      </c>
      <c r="U87" s="3">
        <v>163.19999999999999</v>
      </c>
      <c r="V87" s="3">
        <v>483</v>
      </c>
      <c r="W87">
        <v>162.1</v>
      </c>
      <c r="X87" s="3">
        <v>162.1</v>
      </c>
      <c r="Y87" s="3">
        <v>162.6</v>
      </c>
      <c r="Z87" s="3">
        <v>157.5</v>
      </c>
      <c r="AA87" s="3">
        <v>168.4</v>
      </c>
      <c r="AB87" s="3">
        <v>154</v>
      </c>
      <c r="AC87" s="3">
        <v>157.6</v>
      </c>
      <c r="AD87" s="3">
        <v>163.80000000000001</v>
      </c>
      <c r="AE87" s="3">
        <v>160</v>
      </c>
      <c r="AF87" s="3">
        <v>160</v>
      </c>
      <c r="AG87" s="3">
        <v>789.1</v>
      </c>
      <c r="AH87" s="3">
        <v>163.19999999999999</v>
      </c>
      <c r="AI87" s="10" t="str">
        <f t="shared" si="1"/>
        <v>2021 August</v>
      </c>
    </row>
    <row r="88" spans="1:35">
      <c r="A88" t="s">
        <v>34</v>
      </c>
      <c r="B88">
        <v>2021</v>
      </c>
      <c r="C88" t="s">
        <v>37</v>
      </c>
      <c r="D88" s="3">
        <v>144.30000000000001</v>
      </c>
      <c r="E88" s="3">
        <v>198</v>
      </c>
      <c r="F88" s="3">
        <v>164.6</v>
      </c>
      <c r="G88" s="3">
        <v>155.4</v>
      </c>
      <c r="H88" s="3">
        <v>170.1</v>
      </c>
      <c r="I88" s="3">
        <v>164.4</v>
      </c>
      <c r="J88" s="3">
        <v>144.1</v>
      </c>
      <c r="K88" s="3">
        <v>161.69999999999999</v>
      </c>
      <c r="L88" s="3">
        <v>113.1</v>
      </c>
      <c r="M88" s="3">
        <v>163.9</v>
      </c>
      <c r="N88" s="3">
        <v>157.6</v>
      </c>
      <c r="O88" s="3">
        <v>168.9</v>
      </c>
      <c r="P88" s="3">
        <v>158</v>
      </c>
      <c r="Q88" s="3">
        <v>2064.1</v>
      </c>
      <c r="R88" s="3">
        <v>188.8</v>
      </c>
      <c r="S88" s="3">
        <v>158.80000000000001</v>
      </c>
      <c r="T88" s="3">
        <v>148.5</v>
      </c>
      <c r="U88" s="3">
        <v>157.30000000000001</v>
      </c>
      <c r="V88" s="3">
        <v>464.6</v>
      </c>
      <c r="W88">
        <v>161.4</v>
      </c>
      <c r="X88" s="3">
        <v>161.4</v>
      </c>
      <c r="Y88" s="3">
        <v>155.6</v>
      </c>
      <c r="Z88" s="3">
        <v>151.80000000000001</v>
      </c>
      <c r="AA88" s="3">
        <v>162.30000000000001</v>
      </c>
      <c r="AB88" s="3">
        <v>146.6</v>
      </c>
      <c r="AC88" s="3">
        <v>153.19999999999999</v>
      </c>
      <c r="AD88" s="3">
        <v>160.30000000000001</v>
      </c>
      <c r="AE88" s="3">
        <v>155.4</v>
      </c>
      <c r="AF88" s="3">
        <v>154.4</v>
      </c>
      <c r="AG88" s="3">
        <v>761.4</v>
      </c>
      <c r="AH88" s="3">
        <v>157.80000000000001</v>
      </c>
      <c r="AI88" s="10" t="str">
        <f t="shared" si="1"/>
        <v>2021 April</v>
      </c>
    </row>
    <row r="89" spans="1:35">
      <c r="A89" t="s">
        <v>30</v>
      </c>
      <c r="B89">
        <v>2020</v>
      </c>
      <c r="C89" t="s">
        <v>42</v>
      </c>
      <c r="D89" s="3">
        <v>146.9</v>
      </c>
      <c r="E89" s="3">
        <v>183.9</v>
      </c>
      <c r="F89" s="3">
        <v>149.5</v>
      </c>
      <c r="G89" s="3">
        <v>153.4</v>
      </c>
      <c r="H89" s="3">
        <v>140.4</v>
      </c>
      <c r="I89" s="3">
        <v>147</v>
      </c>
      <c r="J89" s="3">
        <v>178.8</v>
      </c>
      <c r="K89" s="3">
        <v>149.30000000000001</v>
      </c>
      <c r="L89" s="3">
        <v>115.1</v>
      </c>
      <c r="M89" s="3">
        <v>160</v>
      </c>
      <c r="N89" s="3">
        <v>145.4</v>
      </c>
      <c r="O89" s="3">
        <v>161.6</v>
      </c>
      <c r="P89" s="3">
        <v>156.1</v>
      </c>
      <c r="Q89" s="3">
        <v>1987.3999999999999</v>
      </c>
      <c r="R89" s="3">
        <v>182.9</v>
      </c>
      <c r="S89" s="3">
        <v>155.4</v>
      </c>
      <c r="T89" s="3">
        <v>149.9</v>
      </c>
      <c r="U89" s="3">
        <v>154.6</v>
      </c>
      <c r="V89" s="3">
        <v>459.9</v>
      </c>
      <c r="W89" t="s">
        <v>32</v>
      </c>
      <c r="X89" s="3">
        <v>155.69999999999999</v>
      </c>
      <c r="Y89" s="3">
        <v>146.4</v>
      </c>
      <c r="Z89" s="3">
        <v>151.6</v>
      </c>
      <c r="AA89" s="3">
        <v>159.1</v>
      </c>
      <c r="AB89" s="3">
        <v>144.6</v>
      </c>
      <c r="AC89" s="3">
        <v>152.80000000000001</v>
      </c>
      <c r="AD89" s="3">
        <v>161.1</v>
      </c>
      <c r="AE89" s="3">
        <v>157.4</v>
      </c>
      <c r="AF89" s="3">
        <v>153.69999999999999</v>
      </c>
      <c r="AG89" s="3">
        <v>760.09999999999991</v>
      </c>
      <c r="AH89" s="3">
        <v>155.4</v>
      </c>
      <c r="AI89" s="10" t="str">
        <f t="shared" si="1"/>
        <v>2020 September</v>
      </c>
    </row>
    <row r="90" spans="1:35">
      <c r="A90" t="s">
        <v>33</v>
      </c>
      <c r="B90">
        <v>2020</v>
      </c>
      <c r="C90" t="s">
        <v>42</v>
      </c>
      <c r="D90" s="3">
        <v>151.5</v>
      </c>
      <c r="E90" s="3">
        <v>193.1</v>
      </c>
      <c r="F90" s="3">
        <v>157.30000000000001</v>
      </c>
      <c r="G90" s="3">
        <v>153.9</v>
      </c>
      <c r="H90" s="3">
        <v>134.4</v>
      </c>
      <c r="I90" s="3">
        <v>155.4</v>
      </c>
      <c r="J90" s="3">
        <v>202</v>
      </c>
      <c r="K90" s="3">
        <v>150.80000000000001</v>
      </c>
      <c r="L90" s="3">
        <v>118.9</v>
      </c>
      <c r="M90" s="3">
        <v>160.9</v>
      </c>
      <c r="N90" s="3">
        <v>137.69999999999999</v>
      </c>
      <c r="O90" s="3">
        <v>164.4</v>
      </c>
      <c r="P90" s="3">
        <v>161.30000000000001</v>
      </c>
      <c r="Q90" s="3">
        <v>2041.6000000000001</v>
      </c>
      <c r="R90" s="3">
        <v>188.7</v>
      </c>
      <c r="S90" s="3">
        <v>150.19999999999999</v>
      </c>
      <c r="T90" s="3">
        <v>136.30000000000001</v>
      </c>
      <c r="U90" s="3">
        <v>148.1</v>
      </c>
      <c r="V90" s="3">
        <v>434.6</v>
      </c>
      <c r="W90">
        <v>156.30000000000001</v>
      </c>
      <c r="X90" s="3">
        <v>156.30000000000001</v>
      </c>
      <c r="Y90" s="3">
        <v>137.19999999999999</v>
      </c>
      <c r="Z90" s="3">
        <v>145.4</v>
      </c>
      <c r="AA90" s="3">
        <v>150</v>
      </c>
      <c r="AB90" s="3">
        <v>135.1</v>
      </c>
      <c r="AC90" s="3">
        <v>141.80000000000001</v>
      </c>
      <c r="AD90" s="3">
        <v>154.9</v>
      </c>
      <c r="AE90" s="3">
        <v>159.80000000000001</v>
      </c>
      <c r="AF90" s="3">
        <v>146</v>
      </c>
      <c r="AG90" s="3">
        <v>728.1</v>
      </c>
      <c r="AH90" s="3">
        <v>154</v>
      </c>
      <c r="AI90" s="10" t="str">
        <f t="shared" si="1"/>
        <v>2020 September</v>
      </c>
    </row>
    <row r="91" spans="1:35">
      <c r="A91" t="s">
        <v>30</v>
      </c>
      <c r="B91">
        <v>2020</v>
      </c>
      <c r="C91" t="s">
        <v>43</v>
      </c>
      <c r="D91" s="3">
        <v>146</v>
      </c>
      <c r="E91" s="3">
        <v>186.3</v>
      </c>
      <c r="F91" s="3">
        <v>159.19999999999999</v>
      </c>
      <c r="G91" s="3">
        <v>153.6</v>
      </c>
      <c r="H91" s="3">
        <v>142.6</v>
      </c>
      <c r="I91" s="3">
        <v>147.19999999999999</v>
      </c>
      <c r="J91" s="3">
        <v>200.6</v>
      </c>
      <c r="K91" s="3">
        <v>150.30000000000001</v>
      </c>
      <c r="L91" s="3">
        <v>115.3</v>
      </c>
      <c r="M91" s="3">
        <v>160.9</v>
      </c>
      <c r="N91" s="3">
        <v>147.4</v>
      </c>
      <c r="O91" s="3">
        <v>161.9</v>
      </c>
      <c r="P91" s="3">
        <v>159.6</v>
      </c>
      <c r="Q91" s="3">
        <v>2030.9</v>
      </c>
      <c r="R91" s="3">
        <v>182.7</v>
      </c>
      <c r="S91" s="3">
        <v>155.69999999999999</v>
      </c>
      <c r="T91" s="3">
        <v>150.6</v>
      </c>
      <c r="U91" s="3">
        <v>155</v>
      </c>
      <c r="V91" s="3">
        <v>461.29999999999995</v>
      </c>
      <c r="W91" t="s">
        <v>32</v>
      </c>
      <c r="X91" s="3">
        <v>155.69999999999999</v>
      </c>
      <c r="Y91" s="3">
        <v>146.80000000000001</v>
      </c>
      <c r="Z91" s="3">
        <v>152</v>
      </c>
      <c r="AA91" s="3">
        <v>159.5</v>
      </c>
      <c r="AB91" s="3">
        <v>146.4</v>
      </c>
      <c r="AC91" s="3">
        <v>152.4</v>
      </c>
      <c r="AD91" s="3">
        <v>162.5</v>
      </c>
      <c r="AE91" s="3">
        <v>156.19999999999999</v>
      </c>
      <c r="AF91" s="3">
        <v>154.30000000000001</v>
      </c>
      <c r="AG91" s="3">
        <v>761.3</v>
      </c>
      <c r="AH91" s="3">
        <v>157.5</v>
      </c>
      <c r="AI91" s="10" t="str">
        <f t="shared" si="1"/>
        <v>2020 October</v>
      </c>
    </row>
    <row r="92" spans="1:35">
      <c r="A92" t="s">
        <v>33</v>
      </c>
      <c r="B92">
        <v>2020</v>
      </c>
      <c r="C92" t="s">
        <v>43</v>
      </c>
      <c r="D92" s="3">
        <v>150.6</v>
      </c>
      <c r="E92" s="3">
        <v>193.7</v>
      </c>
      <c r="F92" s="3">
        <v>164.8</v>
      </c>
      <c r="G92" s="3">
        <v>153.69999999999999</v>
      </c>
      <c r="H92" s="3">
        <v>135.69999999999999</v>
      </c>
      <c r="I92" s="3">
        <v>155.69999999999999</v>
      </c>
      <c r="J92" s="3">
        <v>226</v>
      </c>
      <c r="K92" s="3">
        <v>152.19999999999999</v>
      </c>
      <c r="L92" s="3">
        <v>118.1</v>
      </c>
      <c r="M92" s="3">
        <v>161.30000000000001</v>
      </c>
      <c r="N92" s="3">
        <v>139.19999999999999</v>
      </c>
      <c r="O92" s="3">
        <v>164.8</v>
      </c>
      <c r="P92" s="3">
        <v>164.4</v>
      </c>
      <c r="Q92" s="3">
        <v>2080.1999999999998</v>
      </c>
      <c r="R92" s="3">
        <v>188.7</v>
      </c>
      <c r="S92" s="3">
        <v>150.5</v>
      </c>
      <c r="T92" s="3">
        <v>136.1</v>
      </c>
      <c r="U92" s="3">
        <v>148.30000000000001</v>
      </c>
      <c r="V92" s="3">
        <v>434.90000000000003</v>
      </c>
      <c r="W92">
        <v>156.5</v>
      </c>
      <c r="X92" s="3">
        <v>156.5</v>
      </c>
      <c r="Y92" s="3">
        <v>137.1</v>
      </c>
      <c r="Z92" s="3">
        <v>145.1</v>
      </c>
      <c r="AA92" s="3">
        <v>151</v>
      </c>
      <c r="AB92" s="3">
        <v>135.4</v>
      </c>
      <c r="AC92" s="3">
        <v>142</v>
      </c>
      <c r="AD92" s="3">
        <v>155.69999999999999</v>
      </c>
      <c r="AE92" s="3">
        <v>158.1</v>
      </c>
      <c r="AF92" s="3">
        <v>146.19999999999999</v>
      </c>
      <c r="AG92" s="3">
        <v>726.8</v>
      </c>
      <c r="AH92" s="3">
        <v>155.19999999999999</v>
      </c>
      <c r="AI92" s="10" t="str">
        <f t="shared" si="1"/>
        <v>2020 October</v>
      </c>
    </row>
    <row r="93" spans="1:35">
      <c r="A93" t="s">
        <v>30</v>
      </c>
      <c r="B93">
        <v>2020</v>
      </c>
      <c r="C93" t="s">
        <v>45</v>
      </c>
      <c r="D93" s="3">
        <v>145.4</v>
      </c>
      <c r="E93" s="3">
        <v>188.6</v>
      </c>
      <c r="F93" s="3">
        <v>171.6</v>
      </c>
      <c r="G93" s="3">
        <v>153.80000000000001</v>
      </c>
      <c r="H93" s="3">
        <v>145.4</v>
      </c>
      <c r="I93" s="3">
        <v>146.5</v>
      </c>
      <c r="J93" s="3">
        <v>222.2</v>
      </c>
      <c r="K93" s="3">
        <v>155.9</v>
      </c>
      <c r="L93" s="3">
        <v>114.9</v>
      </c>
      <c r="M93" s="3">
        <v>162</v>
      </c>
      <c r="N93" s="3">
        <v>150</v>
      </c>
      <c r="O93" s="3">
        <v>162.69999999999999</v>
      </c>
      <c r="P93" s="3">
        <v>163.4</v>
      </c>
      <c r="Q93" s="3">
        <v>2082.4</v>
      </c>
      <c r="R93" s="3">
        <v>183.4</v>
      </c>
      <c r="S93" s="3">
        <v>156.30000000000001</v>
      </c>
      <c r="T93" s="3">
        <v>151</v>
      </c>
      <c r="U93" s="3">
        <v>155.5</v>
      </c>
      <c r="V93" s="3">
        <v>462.8</v>
      </c>
      <c r="W93" t="s">
        <v>32</v>
      </c>
      <c r="X93" s="3">
        <v>155.69999999999999</v>
      </c>
      <c r="Y93" s="3">
        <v>147.5</v>
      </c>
      <c r="Z93" s="3">
        <v>152.80000000000001</v>
      </c>
      <c r="AA93" s="3">
        <v>160.4</v>
      </c>
      <c r="AB93" s="3">
        <v>146.1</v>
      </c>
      <c r="AC93" s="3">
        <v>153.6</v>
      </c>
      <c r="AD93" s="3">
        <v>161.6</v>
      </c>
      <c r="AE93" s="3">
        <v>156.19999999999999</v>
      </c>
      <c r="AF93" s="3">
        <v>154.5</v>
      </c>
      <c r="AG93" s="3">
        <v>763.2</v>
      </c>
      <c r="AH93" s="3">
        <v>159.80000000000001</v>
      </c>
      <c r="AI93" s="10" t="str">
        <f t="shared" si="1"/>
        <v>2020 November</v>
      </c>
    </row>
    <row r="94" spans="1:35">
      <c r="A94" t="s">
        <v>33</v>
      </c>
      <c r="B94">
        <v>2020</v>
      </c>
      <c r="C94" t="s">
        <v>45</v>
      </c>
      <c r="D94" s="3">
        <v>149.69999999999999</v>
      </c>
      <c r="E94" s="3">
        <v>195.5</v>
      </c>
      <c r="F94" s="3">
        <v>176.9</v>
      </c>
      <c r="G94" s="3">
        <v>153.9</v>
      </c>
      <c r="H94" s="3">
        <v>138</v>
      </c>
      <c r="I94" s="3">
        <v>150.5</v>
      </c>
      <c r="J94" s="3">
        <v>245.3</v>
      </c>
      <c r="K94" s="3">
        <v>158.69999999999999</v>
      </c>
      <c r="L94" s="3">
        <v>117.2</v>
      </c>
      <c r="M94" s="3">
        <v>161.4</v>
      </c>
      <c r="N94" s="3">
        <v>141.5</v>
      </c>
      <c r="O94" s="3">
        <v>165.1</v>
      </c>
      <c r="P94" s="3">
        <v>167</v>
      </c>
      <c r="Q94" s="3">
        <v>2120.6999999999998</v>
      </c>
      <c r="R94" s="3">
        <v>188.8</v>
      </c>
      <c r="S94" s="3">
        <v>151.1</v>
      </c>
      <c r="T94" s="3">
        <v>136.4</v>
      </c>
      <c r="U94" s="3">
        <v>148.80000000000001</v>
      </c>
      <c r="V94" s="3">
        <v>436.3</v>
      </c>
      <c r="W94">
        <v>158</v>
      </c>
      <c r="X94" s="3">
        <v>158</v>
      </c>
      <c r="Y94" s="3">
        <v>137.30000000000001</v>
      </c>
      <c r="Z94" s="3">
        <v>145.1</v>
      </c>
      <c r="AA94" s="3">
        <v>152</v>
      </c>
      <c r="AB94" s="3">
        <v>135.19999999999999</v>
      </c>
      <c r="AC94" s="3">
        <v>144.4</v>
      </c>
      <c r="AD94" s="3">
        <v>156.4</v>
      </c>
      <c r="AE94" s="3">
        <v>157.9</v>
      </c>
      <c r="AF94" s="3">
        <v>146.6</v>
      </c>
      <c r="AG94" s="3">
        <v>729.19999999999993</v>
      </c>
      <c r="AH94" s="3">
        <v>156.69999999999999</v>
      </c>
      <c r="AI94" s="10" t="str">
        <f t="shared" si="1"/>
        <v>2020 November</v>
      </c>
    </row>
    <row r="95" spans="1:35">
      <c r="A95" t="s">
        <v>30</v>
      </c>
      <c r="B95">
        <v>2020</v>
      </c>
      <c r="C95" t="s">
        <v>38</v>
      </c>
      <c r="D95" s="3">
        <v>136.68590785907853</v>
      </c>
      <c r="E95" s="3">
        <v>156.26475409836061</v>
      </c>
      <c r="F95" s="3">
        <v>140.79756097560974</v>
      </c>
      <c r="G95" s="3">
        <v>140.32520325203262</v>
      </c>
      <c r="H95" s="3">
        <v>132.1</v>
      </c>
      <c r="I95" s="3">
        <v>140.79756097560974</v>
      </c>
      <c r="J95" s="3">
        <v>155.80000000000001</v>
      </c>
      <c r="K95" s="3">
        <v>141.4</v>
      </c>
      <c r="L95" s="3">
        <v>110.9</v>
      </c>
      <c r="M95" s="3">
        <v>144.5</v>
      </c>
      <c r="N95" s="3">
        <v>134.1</v>
      </c>
      <c r="O95" s="3">
        <v>149.08715846994548</v>
      </c>
      <c r="P95" s="4">
        <v>142.51002710027106</v>
      </c>
      <c r="Q95" s="3">
        <v>1825.268172730908</v>
      </c>
      <c r="R95" s="3">
        <v>155.38579234972681</v>
      </c>
      <c r="S95" s="3">
        <v>142.66366120218566</v>
      </c>
      <c r="T95" s="3">
        <v>135.97732240437156</v>
      </c>
      <c r="U95" s="3">
        <v>141.66999999999999</v>
      </c>
      <c r="V95" s="3">
        <v>420.31098360655722</v>
      </c>
      <c r="W95" t="s">
        <v>32</v>
      </c>
      <c r="X95" s="3">
        <v>155.69999999999999</v>
      </c>
      <c r="Y95" s="3">
        <v>136.51</v>
      </c>
      <c r="Z95" s="3">
        <v>136.68</v>
      </c>
      <c r="AA95" s="3">
        <v>138.51</v>
      </c>
      <c r="AB95" s="3">
        <v>127.17</v>
      </c>
      <c r="AC95" s="3">
        <v>133.88999999999999</v>
      </c>
      <c r="AD95" s="3">
        <v>141.13</v>
      </c>
      <c r="AE95" s="3">
        <v>133.35</v>
      </c>
      <c r="AF95" s="3">
        <v>134.22999999999999</v>
      </c>
      <c r="AG95" s="3">
        <v>665.32</v>
      </c>
      <c r="AH95" s="3">
        <v>139.56</v>
      </c>
      <c r="AI95" s="10" t="str">
        <f t="shared" si="1"/>
        <v>2020 May</v>
      </c>
    </row>
    <row r="96" spans="1:35">
      <c r="A96" t="s">
        <v>33</v>
      </c>
      <c r="B96">
        <v>2020</v>
      </c>
      <c r="C96" t="s">
        <v>38</v>
      </c>
      <c r="D96" s="3">
        <v>136.68590785907853</v>
      </c>
      <c r="E96" s="3">
        <v>156.26475409836061</v>
      </c>
      <c r="F96" s="3">
        <v>140.79756097560974</v>
      </c>
      <c r="G96" s="3">
        <v>140.32520325203262</v>
      </c>
      <c r="H96" s="3">
        <v>132.1</v>
      </c>
      <c r="I96" s="3">
        <v>140.79756097560974</v>
      </c>
      <c r="J96" s="3">
        <v>155.80000000000001</v>
      </c>
      <c r="K96" s="3">
        <v>141.4</v>
      </c>
      <c r="L96" s="3">
        <v>110.9</v>
      </c>
      <c r="M96" s="3">
        <v>144.5</v>
      </c>
      <c r="N96" s="3">
        <v>134.1</v>
      </c>
      <c r="O96" s="3">
        <v>149.08715846994548</v>
      </c>
      <c r="P96" s="3">
        <v>142.51002710027106</v>
      </c>
      <c r="Q96" s="3">
        <v>1825.268172730908</v>
      </c>
      <c r="R96" s="3">
        <v>155.38579234972681</v>
      </c>
      <c r="S96" s="3">
        <v>142.66366120218566</v>
      </c>
      <c r="T96" s="3">
        <v>135.97732240437156</v>
      </c>
      <c r="U96" s="3">
        <v>141.66999999999999</v>
      </c>
      <c r="V96" s="3">
        <v>420.31098360655722</v>
      </c>
      <c r="W96" t="s">
        <v>32</v>
      </c>
      <c r="X96" s="3">
        <v>155.69999999999999</v>
      </c>
      <c r="Y96" s="3">
        <v>136.51</v>
      </c>
      <c r="Z96" s="3">
        <v>136.68</v>
      </c>
      <c r="AA96" s="3">
        <v>138.51</v>
      </c>
      <c r="AB96" s="3">
        <v>127.17</v>
      </c>
      <c r="AC96" s="3">
        <v>133.88999999999999</v>
      </c>
      <c r="AD96" s="3">
        <v>141.13</v>
      </c>
      <c r="AE96" s="3">
        <v>133.35</v>
      </c>
      <c r="AF96" s="3">
        <v>134.22999999999999</v>
      </c>
      <c r="AG96" s="3">
        <v>665.32</v>
      </c>
      <c r="AH96" s="3">
        <v>139.56</v>
      </c>
      <c r="AI96" s="10" t="str">
        <f t="shared" si="1"/>
        <v>2020 May</v>
      </c>
    </row>
    <row r="97" spans="1:35">
      <c r="A97" t="s">
        <v>30</v>
      </c>
      <c r="B97">
        <v>2020</v>
      </c>
      <c r="C97" t="s">
        <v>36</v>
      </c>
      <c r="D97" s="3">
        <v>144.4</v>
      </c>
      <c r="E97" s="3">
        <v>166.8</v>
      </c>
      <c r="F97" s="3">
        <v>147.6</v>
      </c>
      <c r="G97" s="3">
        <v>151.69999999999999</v>
      </c>
      <c r="H97" s="3">
        <v>133.30000000000001</v>
      </c>
      <c r="I97" s="3">
        <v>141.80000000000001</v>
      </c>
      <c r="J97" s="3">
        <v>152.30000000000001</v>
      </c>
      <c r="K97" s="3">
        <v>141.80000000000001</v>
      </c>
      <c r="L97" s="3">
        <v>112.6</v>
      </c>
      <c r="M97" s="3">
        <v>154</v>
      </c>
      <c r="N97" s="3">
        <v>140.1</v>
      </c>
      <c r="O97" s="3">
        <v>160</v>
      </c>
      <c r="P97" s="3">
        <v>148.19999999999999</v>
      </c>
      <c r="Q97" s="3">
        <v>1894.5999999999997</v>
      </c>
      <c r="R97" s="3">
        <v>170.5</v>
      </c>
      <c r="S97" s="3">
        <v>153.4</v>
      </c>
      <c r="T97" s="3">
        <v>147.6</v>
      </c>
      <c r="U97" s="3">
        <v>152.5</v>
      </c>
      <c r="V97" s="3">
        <v>453.5</v>
      </c>
      <c r="W97" t="s">
        <v>32</v>
      </c>
      <c r="X97" s="3">
        <v>155.69999999999999</v>
      </c>
      <c r="Y97" s="3">
        <v>153.4</v>
      </c>
      <c r="Z97" s="3">
        <v>151.5</v>
      </c>
      <c r="AA97" s="3">
        <v>156.69999999999999</v>
      </c>
      <c r="AB97" s="3">
        <v>135.80000000000001</v>
      </c>
      <c r="AC97" s="3">
        <v>151.19999999999999</v>
      </c>
      <c r="AD97" s="3">
        <v>161.19999999999999</v>
      </c>
      <c r="AE97" s="3">
        <v>145.1</v>
      </c>
      <c r="AF97" s="3">
        <v>148.6</v>
      </c>
      <c r="AG97" s="3">
        <v>732.2</v>
      </c>
      <c r="AH97" s="3">
        <v>149.80000000000001</v>
      </c>
      <c r="AI97" s="10" t="str">
        <f t="shared" si="1"/>
        <v>2020 March</v>
      </c>
    </row>
    <row r="98" spans="1:35">
      <c r="A98" t="s">
        <v>33</v>
      </c>
      <c r="B98">
        <v>2020</v>
      </c>
      <c r="C98" t="s">
        <v>36</v>
      </c>
      <c r="D98" s="3">
        <v>146.5</v>
      </c>
      <c r="E98" s="3">
        <v>167.5</v>
      </c>
      <c r="F98" s="3">
        <v>148.9</v>
      </c>
      <c r="G98" s="3">
        <v>151.1</v>
      </c>
      <c r="H98" s="3">
        <v>127.5</v>
      </c>
      <c r="I98" s="3">
        <v>143.30000000000001</v>
      </c>
      <c r="J98" s="3">
        <v>167</v>
      </c>
      <c r="K98" s="3">
        <v>139.69999999999999</v>
      </c>
      <c r="L98" s="3">
        <v>114.4</v>
      </c>
      <c r="M98" s="3">
        <v>151.5</v>
      </c>
      <c r="N98" s="3">
        <v>131.9</v>
      </c>
      <c r="O98" s="3">
        <v>159.1</v>
      </c>
      <c r="P98" s="3">
        <v>150.1</v>
      </c>
      <c r="Q98" s="3">
        <v>1898.5</v>
      </c>
      <c r="R98" s="3">
        <v>173.3</v>
      </c>
      <c r="S98" s="3">
        <v>147.69999999999999</v>
      </c>
      <c r="T98" s="3">
        <v>133.80000000000001</v>
      </c>
      <c r="U98" s="3">
        <v>145.6</v>
      </c>
      <c r="V98" s="3">
        <v>427.1</v>
      </c>
      <c r="W98">
        <v>154.5</v>
      </c>
      <c r="X98" s="3">
        <v>154.5</v>
      </c>
      <c r="Y98" s="3">
        <v>141.4</v>
      </c>
      <c r="Z98" s="3">
        <v>140.80000000000001</v>
      </c>
      <c r="AA98" s="3">
        <v>145</v>
      </c>
      <c r="AB98" s="3">
        <v>124.6</v>
      </c>
      <c r="AC98" s="3">
        <v>137.9</v>
      </c>
      <c r="AD98" s="3">
        <v>152.5</v>
      </c>
      <c r="AE98" s="3">
        <v>145.30000000000001</v>
      </c>
      <c r="AF98" s="3">
        <v>138.69999999999999</v>
      </c>
      <c r="AG98" s="3">
        <v>687.3</v>
      </c>
      <c r="AH98" s="3">
        <v>147.30000000000001</v>
      </c>
      <c r="AI98" s="10" t="str">
        <f t="shared" si="1"/>
        <v>2020 March</v>
      </c>
    </row>
    <row r="99" spans="1:35">
      <c r="A99" t="s">
        <v>30</v>
      </c>
      <c r="B99">
        <v>2020</v>
      </c>
      <c r="C99" t="s">
        <v>39</v>
      </c>
      <c r="D99" s="3">
        <v>148.19999999999999</v>
      </c>
      <c r="E99" s="3">
        <v>190.3</v>
      </c>
      <c r="F99" s="3">
        <v>149.4</v>
      </c>
      <c r="G99" s="3">
        <v>153.30000000000001</v>
      </c>
      <c r="H99" s="3">
        <v>138.19999999999999</v>
      </c>
      <c r="I99" s="3">
        <v>143.19999999999999</v>
      </c>
      <c r="J99" s="3">
        <v>148.9</v>
      </c>
      <c r="K99" s="3">
        <v>150.30000000000001</v>
      </c>
      <c r="L99" s="3">
        <v>113.2</v>
      </c>
      <c r="M99" s="3">
        <v>159.80000000000001</v>
      </c>
      <c r="N99" s="3">
        <v>142.1</v>
      </c>
      <c r="O99" s="3">
        <v>161.80000000000001</v>
      </c>
      <c r="P99" s="3">
        <v>152.30000000000001</v>
      </c>
      <c r="Q99" s="3">
        <v>1951</v>
      </c>
      <c r="R99" s="3">
        <v>182.4</v>
      </c>
      <c r="S99" s="3">
        <v>154.69999999999999</v>
      </c>
      <c r="T99" s="3">
        <v>150</v>
      </c>
      <c r="U99" s="3">
        <v>154.1</v>
      </c>
      <c r="V99" s="3">
        <v>458.79999999999995</v>
      </c>
      <c r="W99" t="s">
        <v>32</v>
      </c>
      <c r="X99" s="3">
        <v>155.69999999999999</v>
      </c>
      <c r="Y99" s="3">
        <v>144.9</v>
      </c>
      <c r="Z99" s="3">
        <v>151.69999999999999</v>
      </c>
      <c r="AA99" s="3">
        <v>158.19999999999999</v>
      </c>
      <c r="AB99" s="3">
        <v>141.4</v>
      </c>
      <c r="AC99" s="3">
        <v>153.19999999999999</v>
      </c>
      <c r="AD99" s="3">
        <v>161.80000000000001</v>
      </c>
      <c r="AE99" s="3">
        <v>151.19999999999999</v>
      </c>
      <c r="AF99" s="3">
        <v>151.69999999999999</v>
      </c>
      <c r="AG99" s="3">
        <v>749.2</v>
      </c>
      <c r="AH99" s="3">
        <v>152.69999999999999</v>
      </c>
      <c r="AI99" s="10" t="str">
        <f t="shared" si="1"/>
        <v>2020 June</v>
      </c>
    </row>
    <row r="100" spans="1:35">
      <c r="A100" t="s">
        <v>33</v>
      </c>
      <c r="B100">
        <v>2020</v>
      </c>
      <c r="C100" t="s">
        <v>39</v>
      </c>
      <c r="D100" s="3">
        <v>152.69999999999999</v>
      </c>
      <c r="E100" s="3">
        <v>197</v>
      </c>
      <c r="F100" s="3">
        <v>154.6</v>
      </c>
      <c r="G100" s="3">
        <v>153.4</v>
      </c>
      <c r="H100" s="3">
        <v>132.9</v>
      </c>
      <c r="I100" s="3">
        <v>151.80000000000001</v>
      </c>
      <c r="J100" s="3">
        <v>171.2</v>
      </c>
      <c r="K100" s="3">
        <v>152</v>
      </c>
      <c r="L100" s="3">
        <v>116.3</v>
      </c>
      <c r="M100" s="3">
        <v>158.80000000000001</v>
      </c>
      <c r="N100" s="3">
        <v>135.6</v>
      </c>
      <c r="O100" s="3">
        <v>161.69999999999999</v>
      </c>
      <c r="P100" s="3">
        <v>157</v>
      </c>
      <c r="Q100" s="3">
        <v>1994.9999999999998</v>
      </c>
      <c r="R100" s="3">
        <v>186.7</v>
      </c>
      <c r="S100" s="3">
        <v>149.1</v>
      </c>
      <c r="T100" s="3">
        <v>136.6</v>
      </c>
      <c r="U100" s="3">
        <v>147.19999999999999</v>
      </c>
      <c r="V100" s="3">
        <v>432.9</v>
      </c>
      <c r="W100">
        <v>154.69999999999999</v>
      </c>
      <c r="X100" s="3">
        <v>154.69999999999999</v>
      </c>
      <c r="Y100" s="3">
        <v>137.1</v>
      </c>
      <c r="Z100" s="3">
        <v>140.4</v>
      </c>
      <c r="AA100" s="3">
        <v>148.1</v>
      </c>
      <c r="AB100" s="3">
        <v>129.30000000000001</v>
      </c>
      <c r="AC100" s="3">
        <v>144.5</v>
      </c>
      <c r="AD100" s="3">
        <v>152.5</v>
      </c>
      <c r="AE100" s="3">
        <v>152.19999999999999</v>
      </c>
      <c r="AF100" s="3">
        <v>142</v>
      </c>
      <c r="AG100" s="3">
        <v>708.40000000000009</v>
      </c>
      <c r="AH100" s="3">
        <v>150.80000000000001</v>
      </c>
      <c r="AI100" s="10" t="str">
        <f t="shared" si="1"/>
        <v>2020 June</v>
      </c>
    </row>
    <row r="101" spans="1:35">
      <c r="A101" t="s">
        <v>30</v>
      </c>
      <c r="B101">
        <v>2020</v>
      </c>
      <c r="C101" t="s">
        <v>40</v>
      </c>
      <c r="D101" s="3">
        <v>148.19999999999999</v>
      </c>
      <c r="E101" s="3">
        <v>190.3</v>
      </c>
      <c r="F101" s="3">
        <v>149.4</v>
      </c>
      <c r="G101" s="3">
        <v>153.30000000000001</v>
      </c>
      <c r="H101" s="3">
        <v>138.19999999999999</v>
      </c>
      <c r="I101" s="3">
        <v>143.19999999999999</v>
      </c>
      <c r="J101" s="3">
        <v>148.9</v>
      </c>
      <c r="K101" s="3">
        <v>150.30000000000001</v>
      </c>
      <c r="L101" s="3">
        <v>113.2</v>
      </c>
      <c r="M101" s="3">
        <v>159.80000000000001</v>
      </c>
      <c r="N101" s="3">
        <v>142.1</v>
      </c>
      <c r="O101" s="3">
        <v>161.80000000000001</v>
      </c>
      <c r="P101" s="3">
        <v>152.30000000000001</v>
      </c>
      <c r="Q101" s="3">
        <v>1951</v>
      </c>
      <c r="R101" s="3">
        <v>182.4</v>
      </c>
      <c r="S101" s="3">
        <v>154.69999999999999</v>
      </c>
      <c r="T101" s="3">
        <v>150</v>
      </c>
      <c r="U101" s="3">
        <v>154.1</v>
      </c>
      <c r="V101" s="3">
        <v>458.79999999999995</v>
      </c>
      <c r="W101" t="s">
        <v>32</v>
      </c>
      <c r="X101" s="3">
        <v>155.69999999999999</v>
      </c>
      <c r="Y101" s="3">
        <v>144.9</v>
      </c>
      <c r="Z101" s="3">
        <v>151.69999999999999</v>
      </c>
      <c r="AA101" s="3">
        <v>158.19999999999999</v>
      </c>
      <c r="AB101" s="3">
        <v>141.4</v>
      </c>
      <c r="AC101" s="3">
        <v>153.19999999999999</v>
      </c>
      <c r="AD101" s="3">
        <v>161.80000000000001</v>
      </c>
      <c r="AE101" s="3">
        <v>151.19999999999999</v>
      </c>
      <c r="AF101" s="3">
        <v>151.69999999999999</v>
      </c>
      <c r="AG101" s="3">
        <v>749.2</v>
      </c>
      <c r="AH101" s="3">
        <v>152.69999999999999</v>
      </c>
      <c r="AI101" s="10" t="str">
        <f t="shared" si="1"/>
        <v>2020 July</v>
      </c>
    </row>
    <row r="102" spans="1:35">
      <c r="A102" t="s">
        <v>33</v>
      </c>
      <c r="B102">
        <v>2020</v>
      </c>
      <c r="C102" t="s">
        <v>40</v>
      </c>
      <c r="D102" s="3">
        <v>152.69999999999999</v>
      </c>
      <c r="E102" s="3">
        <v>197</v>
      </c>
      <c r="F102" s="3">
        <v>154.6</v>
      </c>
      <c r="G102" s="3">
        <v>153.4</v>
      </c>
      <c r="H102" s="3">
        <v>132.9</v>
      </c>
      <c r="I102" s="3">
        <v>151.80000000000001</v>
      </c>
      <c r="J102" s="3">
        <v>171.2</v>
      </c>
      <c r="K102" s="3">
        <v>152</v>
      </c>
      <c r="L102" s="3">
        <v>116.3</v>
      </c>
      <c r="M102" s="3">
        <v>158.80000000000001</v>
      </c>
      <c r="N102" s="3">
        <v>135.6</v>
      </c>
      <c r="O102" s="3">
        <v>161.69999999999999</v>
      </c>
      <c r="P102" s="3">
        <v>157</v>
      </c>
      <c r="Q102" s="3">
        <v>1994.9999999999998</v>
      </c>
      <c r="R102" s="3">
        <v>186.7</v>
      </c>
      <c r="S102" s="3">
        <v>149.1</v>
      </c>
      <c r="T102" s="3">
        <v>136.6</v>
      </c>
      <c r="U102" s="3">
        <v>147.19999999999999</v>
      </c>
      <c r="V102" s="3">
        <v>432.9</v>
      </c>
      <c r="W102">
        <v>154.69999999999999</v>
      </c>
      <c r="X102" s="3">
        <v>154.69999999999999</v>
      </c>
      <c r="Y102" s="3">
        <v>137.1</v>
      </c>
      <c r="Z102" s="3">
        <v>140.4</v>
      </c>
      <c r="AA102" s="3">
        <v>148.1</v>
      </c>
      <c r="AB102" s="3">
        <v>129.30000000000001</v>
      </c>
      <c r="AC102" s="3">
        <v>144.5</v>
      </c>
      <c r="AD102" s="3">
        <v>152.5</v>
      </c>
      <c r="AE102" s="3">
        <v>152.19999999999999</v>
      </c>
      <c r="AF102" s="3">
        <v>142</v>
      </c>
      <c r="AG102" s="3">
        <v>708.40000000000009</v>
      </c>
      <c r="AH102" s="3">
        <v>150.80000000000001</v>
      </c>
      <c r="AI102" s="10" t="str">
        <f t="shared" si="1"/>
        <v>2020 July</v>
      </c>
    </row>
    <row r="103" spans="1:35">
      <c r="A103" t="s">
        <v>30</v>
      </c>
      <c r="B103">
        <v>2020</v>
      </c>
      <c r="C103" t="s">
        <v>31</v>
      </c>
      <c r="D103" s="3">
        <v>143.69999999999999</v>
      </c>
      <c r="E103" s="3">
        <v>167.3</v>
      </c>
      <c r="F103" s="3">
        <v>153.5</v>
      </c>
      <c r="G103" s="3">
        <v>150.5</v>
      </c>
      <c r="H103" s="3">
        <v>132</v>
      </c>
      <c r="I103" s="3">
        <v>142.19999999999999</v>
      </c>
      <c r="J103" s="3">
        <v>191.5</v>
      </c>
      <c r="K103" s="3">
        <v>141.1</v>
      </c>
      <c r="L103" s="3">
        <v>113.8</v>
      </c>
      <c r="M103" s="3">
        <v>151.6</v>
      </c>
      <c r="N103" s="3">
        <v>139.69999999999999</v>
      </c>
      <c r="O103" s="3">
        <v>158.69999999999999</v>
      </c>
      <c r="P103" s="3">
        <v>153</v>
      </c>
      <c r="Q103" s="3">
        <v>1938.6</v>
      </c>
      <c r="R103" s="3">
        <v>168.6</v>
      </c>
      <c r="S103" s="3">
        <v>152.80000000000001</v>
      </c>
      <c r="T103" s="3">
        <v>147.4</v>
      </c>
      <c r="U103" s="3">
        <v>152.1</v>
      </c>
      <c r="V103" s="3">
        <v>452.30000000000007</v>
      </c>
      <c r="W103" t="s">
        <v>32</v>
      </c>
      <c r="X103" s="3">
        <v>155.69999999999999</v>
      </c>
      <c r="Y103" s="3">
        <v>150.4</v>
      </c>
      <c r="Z103" s="3">
        <v>151.69999999999999</v>
      </c>
      <c r="AA103" s="3">
        <v>155.69999999999999</v>
      </c>
      <c r="AB103" s="3">
        <v>136.30000000000001</v>
      </c>
      <c r="AC103" s="3">
        <v>150.1</v>
      </c>
      <c r="AD103" s="3">
        <v>161.69999999999999</v>
      </c>
      <c r="AE103" s="3">
        <v>142.5</v>
      </c>
      <c r="AF103" s="3">
        <v>148.1</v>
      </c>
      <c r="AG103" s="3">
        <v>728.7</v>
      </c>
      <c r="AH103" s="3">
        <v>151.9</v>
      </c>
      <c r="AI103" s="10" t="str">
        <f t="shared" si="1"/>
        <v>2020 January</v>
      </c>
    </row>
    <row r="104" spans="1:35">
      <c r="A104" t="s">
        <v>33</v>
      </c>
      <c r="B104">
        <v>2020</v>
      </c>
      <c r="C104" t="s">
        <v>31</v>
      </c>
      <c r="D104" s="3">
        <v>145.6</v>
      </c>
      <c r="E104" s="3">
        <v>167.6</v>
      </c>
      <c r="F104" s="3">
        <v>157</v>
      </c>
      <c r="G104" s="3">
        <v>149.30000000000001</v>
      </c>
      <c r="H104" s="3">
        <v>126.3</v>
      </c>
      <c r="I104" s="3">
        <v>144.4</v>
      </c>
      <c r="J104" s="3">
        <v>207.8</v>
      </c>
      <c r="K104" s="3">
        <v>139.1</v>
      </c>
      <c r="L104" s="3">
        <v>114.8</v>
      </c>
      <c r="M104" s="3">
        <v>149.5</v>
      </c>
      <c r="N104" s="3">
        <v>131.1</v>
      </c>
      <c r="O104" s="3">
        <v>158.5</v>
      </c>
      <c r="P104" s="3">
        <v>154.4</v>
      </c>
      <c r="Q104" s="3">
        <v>1945.3999999999999</v>
      </c>
      <c r="R104" s="3">
        <v>170.8</v>
      </c>
      <c r="S104" s="3">
        <v>147</v>
      </c>
      <c r="T104" s="3">
        <v>133.19999999999999</v>
      </c>
      <c r="U104" s="3">
        <v>144.9</v>
      </c>
      <c r="V104" s="3">
        <v>425.1</v>
      </c>
      <c r="W104">
        <v>153.9</v>
      </c>
      <c r="X104" s="3">
        <v>153.9</v>
      </c>
      <c r="Y104" s="3">
        <v>135.1</v>
      </c>
      <c r="Z104" s="3">
        <v>140.1</v>
      </c>
      <c r="AA104" s="3">
        <v>143.80000000000001</v>
      </c>
      <c r="AB104" s="3">
        <v>126.1</v>
      </c>
      <c r="AC104" s="3">
        <v>137.19999999999999</v>
      </c>
      <c r="AD104" s="3">
        <v>152.1</v>
      </c>
      <c r="AE104" s="3">
        <v>142.1</v>
      </c>
      <c r="AF104" s="3">
        <v>138.4</v>
      </c>
      <c r="AG104" s="3">
        <v>683.9</v>
      </c>
      <c r="AH104" s="3">
        <v>148.19999999999999</v>
      </c>
      <c r="AI104" s="10" t="str">
        <f t="shared" si="1"/>
        <v>2020 January</v>
      </c>
    </row>
    <row r="105" spans="1:35">
      <c r="A105" t="s">
        <v>30</v>
      </c>
      <c r="B105">
        <v>2020</v>
      </c>
      <c r="C105" t="s">
        <v>35</v>
      </c>
      <c r="D105" s="3">
        <v>144.19999999999999</v>
      </c>
      <c r="E105" s="3">
        <v>167.5</v>
      </c>
      <c r="F105" s="3">
        <v>150.9</v>
      </c>
      <c r="G105" s="3">
        <v>150.9</v>
      </c>
      <c r="H105" s="3">
        <v>133.69999999999999</v>
      </c>
      <c r="I105" s="3">
        <v>140.69999999999999</v>
      </c>
      <c r="J105" s="3">
        <v>165.1</v>
      </c>
      <c r="K105" s="3">
        <v>141.80000000000001</v>
      </c>
      <c r="L105" s="3">
        <v>113.1</v>
      </c>
      <c r="M105" s="3">
        <v>152.80000000000001</v>
      </c>
      <c r="N105" s="3">
        <v>140.1</v>
      </c>
      <c r="O105" s="3">
        <v>159.19999999999999</v>
      </c>
      <c r="P105" s="3">
        <v>149.80000000000001</v>
      </c>
      <c r="Q105" s="3">
        <v>1909.7999999999997</v>
      </c>
      <c r="R105" s="3">
        <v>169.4</v>
      </c>
      <c r="S105" s="3">
        <v>153</v>
      </c>
      <c r="T105" s="3">
        <v>147.5</v>
      </c>
      <c r="U105" s="3">
        <v>152.30000000000001</v>
      </c>
      <c r="V105" s="3">
        <v>452.8</v>
      </c>
      <c r="W105" t="s">
        <v>32</v>
      </c>
      <c r="X105" s="3">
        <v>155.69999999999999</v>
      </c>
      <c r="Y105" s="3">
        <v>152.30000000000001</v>
      </c>
      <c r="Z105" s="3">
        <v>151.80000000000001</v>
      </c>
      <c r="AA105" s="3">
        <v>156.19999999999999</v>
      </c>
      <c r="AB105" s="3">
        <v>136</v>
      </c>
      <c r="AC105" s="3">
        <v>150.4</v>
      </c>
      <c r="AD105" s="3">
        <v>161.9</v>
      </c>
      <c r="AE105" s="3">
        <v>143.4</v>
      </c>
      <c r="AF105" s="3">
        <v>148.4</v>
      </c>
      <c r="AG105" s="3">
        <v>730</v>
      </c>
      <c r="AH105" s="3">
        <v>150.4</v>
      </c>
      <c r="AI105" s="10" t="str">
        <f t="shared" si="1"/>
        <v>2020 February</v>
      </c>
    </row>
    <row r="106" spans="1:35">
      <c r="A106" t="s">
        <v>33</v>
      </c>
      <c r="B106">
        <v>2020</v>
      </c>
      <c r="C106" t="s">
        <v>35</v>
      </c>
      <c r="D106" s="3">
        <v>146.19999999999999</v>
      </c>
      <c r="E106" s="3">
        <v>167.6</v>
      </c>
      <c r="F106" s="3">
        <v>153.1</v>
      </c>
      <c r="G106" s="3">
        <v>150.69999999999999</v>
      </c>
      <c r="H106" s="3">
        <v>127.4</v>
      </c>
      <c r="I106" s="3">
        <v>143.1</v>
      </c>
      <c r="J106" s="3">
        <v>181.7</v>
      </c>
      <c r="K106" s="3">
        <v>139.6</v>
      </c>
      <c r="L106" s="3">
        <v>114.6</v>
      </c>
      <c r="M106" s="3">
        <v>150.4</v>
      </c>
      <c r="N106" s="3">
        <v>131.5</v>
      </c>
      <c r="O106" s="3">
        <v>159</v>
      </c>
      <c r="P106" s="3">
        <v>151.69999999999999</v>
      </c>
      <c r="Q106" s="3">
        <v>1916.6</v>
      </c>
      <c r="R106" s="3">
        <v>172</v>
      </c>
      <c r="S106" s="3">
        <v>147.30000000000001</v>
      </c>
      <c r="T106" s="3">
        <v>133.5</v>
      </c>
      <c r="U106" s="3">
        <v>145.19999999999999</v>
      </c>
      <c r="V106" s="3">
        <v>426</v>
      </c>
      <c r="W106">
        <v>154.80000000000001</v>
      </c>
      <c r="X106" s="3">
        <v>154.80000000000001</v>
      </c>
      <c r="Y106" s="3">
        <v>138.9</v>
      </c>
      <c r="Z106" s="3">
        <v>140.4</v>
      </c>
      <c r="AA106" s="3">
        <v>144.4</v>
      </c>
      <c r="AB106" s="3">
        <v>125.2</v>
      </c>
      <c r="AC106" s="3">
        <v>137.69999999999999</v>
      </c>
      <c r="AD106" s="3">
        <v>152.19999999999999</v>
      </c>
      <c r="AE106" s="3">
        <v>143.5</v>
      </c>
      <c r="AF106" s="3">
        <v>138.4</v>
      </c>
      <c r="AG106" s="3">
        <v>685.19999999999993</v>
      </c>
      <c r="AH106" s="3">
        <v>147.69999999999999</v>
      </c>
      <c r="AI106" s="10" t="str">
        <f t="shared" si="1"/>
        <v>2020 February</v>
      </c>
    </row>
    <row r="107" spans="1:35">
      <c r="A107" t="s">
        <v>30</v>
      </c>
      <c r="B107">
        <v>2020</v>
      </c>
      <c r="C107" t="s">
        <v>46</v>
      </c>
      <c r="D107" s="3">
        <v>144.6</v>
      </c>
      <c r="E107" s="3">
        <v>188.5</v>
      </c>
      <c r="F107" s="3">
        <v>173.4</v>
      </c>
      <c r="G107" s="3">
        <v>154</v>
      </c>
      <c r="H107" s="3">
        <v>150</v>
      </c>
      <c r="I107" s="3">
        <v>145.9</v>
      </c>
      <c r="J107" s="3">
        <v>225.2</v>
      </c>
      <c r="K107" s="3">
        <v>159.5</v>
      </c>
      <c r="L107" s="3">
        <v>114.4</v>
      </c>
      <c r="M107" s="3">
        <v>163.5</v>
      </c>
      <c r="N107" s="3">
        <v>153.4</v>
      </c>
      <c r="O107" s="3">
        <v>163.6</v>
      </c>
      <c r="P107" s="3">
        <v>164.5</v>
      </c>
      <c r="Q107" s="3">
        <v>2100.5</v>
      </c>
      <c r="R107" s="3">
        <v>183.6</v>
      </c>
      <c r="S107" s="3">
        <v>157</v>
      </c>
      <c r="T107" s="3">
        <v>151.6</v>
      </c>
      <c r="U107" s="3">
        <v>156.30000000000001</v>
      </c>
      <c r="V107" s="3">
        <v>464.90000000000003</v>
      </c>
      <c r="W107" t="s">
        <v>32</v>
      </c>
      <c r="X107" s="3">
        <v>155.69999999999999</v>
      </c>
      <c r="Y107" s="3">
        <v>148.69999999999999</v>
      </c>
      <c r="Z107" s="3">
        <v>153.4</v>
      </c>
      <c r="AA107" s="3">
        <v>161.6</v>
      </c>
      <c r="AB107" s="3">
        <v>146.4</v>
      </c>
      <c r="AC107" s="3">
        <v>153.9</v>
      </c>
      <c r="AD107" s="3">
        <v>162.9</v>
      </c>
      <c r="AE107" s="3">
        <v>156.6</v>
      </c>
      <c r="AF107" s="3">
        <v>155.19999999999999</v>
      </c>
      <c r="AG107" s="3">
        <v>765.5</v>
      </c>
      <c r="AH107" s="3">
        <v>160.69999999999999</v>
      </c>
      <c r="AI107" s="10" t="str">
        <f t="shared" si="1"/>
        <v>2020 December</v>
      </c>
    </row>
    <row r="108" spans="1:35">
      <c r="A108" t="s">
        <v>33</v>
      </c>
      <c r="B108">
        <v>2020</v>
      </c>
      <c r="C108" t="s">
        <v>46</v>
      </c>
      <c r="D108" s="3">
        <v>149</v>
      </c>
      <c r="E108" s="3">
        <v>195.7</v>
      </c>
      <c r="F108" s="3">
        <v>178.3</v>
      </c>
      <c r="G108" s="3">
        <v>154.19999999999999</v>
      </c>
      <c r="H108" s="3">
        <v>140.69999999999999</v>
      </c>
      <c r="I108" s="3">
        <v>149.69999999999999</v>
      </c>
      <c r="J108" s="3">
        <v>240.9</v>
      </c>
      <c r="K108" s="3">
        <v>161.5</v>
      </c>
      <c r="L108" s="3">
        <v>117.1</v>
      </c>
      <c r="M108" s="3">
        <v>161.9</v>
      </c>
      <c r="N108" s="3">
        <v>143.30000000000001</v>
      </c>
      <c r="O108" s="3">
        <v>166.1</v>
      </c>
      <c r="P108" s="3">
        <v>167</v>
      </c>
      <c r="Q108" s="3">
        <v>2125.4</v>
      </c>
      <c r="R108" s="3">
        <v>190.2</v>
      </c>
      <c r="S108" s="3">
        <v>151.9</v>
      </c>
      <c r="T108" s="3">
        <v>136.69999999999999</v>
      </c>
      <c r="U108" s="3">
        <v>149.6</v>
      </c>
      <c r="V108" s="3">
        <v>438.20000000000005</v>
      </c>
      <c r="W108">
        <v>158.4</v>
      </c>
      <c r="X108" s="3">
        <v>158.4</v>
      </c>
      <c r="Y108" s="3">
        <v>137.9</v>
      </c>
      <c r="Z108" s="3">
        <v>145.5</v>
      </c>
      <c r="AA108" s="3">
        <v>152.9</v>
      </c>
      <c r="AB108" s="3">
        <v>135.5</v>
      </c>
      <c r="AC108" s="3">
        <v>144.30000000000001</v>
      </c>
      <c r="AD108" s="3">
        <v>156.9</v>
      </c>
      <c r="AE108" s="3">
        <v>157.9</v>
      </c>
      <c r="AF108" s="3">
        <v>146.9</v>
      </c>
      <c r="AG108" s="3">
        <v>730.1</v>
      </c>
      <c r="AH108" s="3">
        <v>156.9</v>
      </c>
      <c r="AI108" s="10" t="str">
        <f t="shared" si="1"/>
        <v>2020 December</v>
      </c>
    </row>
    <row r="109" spans="1:35">
      <c r="A109" t="s">
        <v>30</v>
      </c>
      <c r="B109">
        <v>2020</v>
      </c>
      <c r="C109" t="s">
        <v>41</v>
      </c>
      <c r="D109" s="3">
        <v>147.6</v>
      </c>
      <c r="E109" s="3">
        <v>187.2</v>
      </c>
      <c r="F109" s="3">
        <v>148.4</v>
      </c>
      <c r="G109" s="3">
        <v>153.30000000000001</v>
      </c>
      <c r="H109" s="3">
        <v>139.80000000000001</v>
      </c>
      <c r="I109" s="3">
        <v>146.9</v>
      </c>
      <c r="J109" s="3">
        <v>171</v>
      </c>
      <c r="K109" s="3">
        <v>149.9</v>
      </c>
      <c r="L109" s="3">
        <v>114.2</v>
      </c>
      <c r="M109" s="3">
        <v>160</v>
      </c>
      <c r="N109" s="3">
        <v>143.5</v>
      </c>
      <c r="O109" s="3">
        <v>161.5</v>
      </c>
      <c r="P109" s="3">
        <v>155.30000000000001</v>
      </c>
      <c r="Q109" s="3">
        <v>1978.6</v>
      </c>
      <c r="R109" s="3">
        <v>180.9</v>
      </c>
      <c r="S109" s="3">
        <v>155.1</v>
      </c>
      <c r="T109" s="3">
        <v>149.30000000000001</v>
      </c>
      <c r="U109" s="3">
        <v>154.30000000000001</v>
      </c>
      <c r="V109" s="3">
        <v>458.7</v>
      </c>
      <c r="W109" t="s">
        <v>32</v>
      </c>
      <c r="X109" s="3">
        <v>155.69999999999999</v>
      </c>
      <c r="Y109" s="3">
        <v>145.80000000000001</v>
      </c>
      <c r="Z109" s="3">
        <v>151.9</v>
      </c>
      <c r="AA109" s="3">
        <v>158.80000000000001</v>
      </c>
      <c r="AB109" s="3">
        <v>143.6</v>
      </c>
      <c r="AC109" s="3">
        <v>152.19999999999999</v>
      </c>
      <c r="AD109" s="3">
        <v>162.69999999999999</v>
      </c>
      <c r="AE109" s="3">
        <v>153.6</v>
      </c>
      <c r="AF109" s="3">
        <v>153</v>
      </c>
      <c r="AG109" s="3">
        <v>754.3</v>
      </c>
      <c r="AH109" s="3">
        <v>154.69999999999999</v>
      </c>
      <c r="AI109" s="10" t="str">
        <f t="shared" si="1"/>
        <v>2020 August</v>
      </c>
    </row>
    <row r="110" spans="1:35">
      <c r="A110" t="s">
        <v>33</v>
      </c>
      <c r="B110">
        <v>2020</v>
      </c>
      <c r="C110" t="s">
        <v>41</v>
      </c>
      <c r="D110" s="3">
        <v>151.6</v>
      </c>
      <c r="E110" s="3">
        <v>197.8</v>
      </c>
      <c r="F110" s="3">
        <v>154.5</v>
      </c>
      <c r="G110" s="3">
        <v>153.4</v>
      </c>
      <c r="H110" s="3">
        <v>133.4</v>
      </c>
      <c r="I110" s="3">
        <v>154.5</v>
      </c>
      <c r="J110" s="3">
        <v>191.9</v>
      </c>
      <c r="K110" s="3">
        <v>151.30000000000001</v>
      </c>
      <c r="L110" s="3">
        <v>116.8</v>
      </c>
      <c r="M110" s="3">
        <v>160</v>
      </c>
      <c r="N110" s="3">
        <v>136.5</v>
      </c>
      <c r="O110" s="3">
        <v>163.30000000000001</v>
      </c>
      <c r="P110" s="3">
        <v>159.9</v>
      </c>
      <c r="Q110" s="3">
        <v>2024.8999999999999</v>
      </c>
      <c r="R110" s="3">
        <v>187.2</v>
      </c>
      <c r="S110" s="3">
        <v>150</v>
      </c>
      <c r="T110" s="3">
        <v>135.19999999999999</v>
      </c>
      <c r="U110" s="3">
        <v>147.80000000000001</v>
      </c>
      <c r="V110" s="3">
        <v>433</v>
      </c>
      <c r="W110">
        <v>155.5</v>
      </c>
      <c r="X110" s="3">
        <v>155.5</v>
      </c>
      <c r="Y110" s="3">
        <v>138.30000000000001</v>
      </c>
      <c r="Z110" s="3">
        <v>144.5</v>
      </c>
      <c r="AA110" s="3">
        <v>148.69999999999999</v>
      </c>
      <c r="AB110" s="3">
        <v>133.9</v>
      </c>
      <c r="AC110" s="3">
        <v>141.19999999999999</v>
      </c>
      <c r="AD110" s="3">
        <v>155.5</v>
      </c>
      <c r="AE110" s="3">
        <v>155.19999999999999</v>
      </c>
      <c r="AF110" s="3">
        <v>144.80000000000001</v>
      </c>
      <c r="AG110" s="3">
        <v>719.59999999999991</v>
      </c>
      <c r="AH110" s="3">
        <v>152.9</v>
      </c>
      <c r="AI110" s="10" t="str">
        <f t="shared" si="1"/>
        <v>2020 August</v>
      </c>
    </row>
    <row r="111" spans="1:35">
      <c r="A111" t="s">
        <v>30</v>
      </c>
      <c r="B111">
        <v>2020</v>
      </c>
      <c r="C111" t="s">
        <v>37</v>
      </c>
      <c r="D111" s="3">
        <v>147.19999999999999</v>
      </c>
      <c r="E111" s="3">
        <v>156.26475409836061</v>
      </c>
      <c r="F111" s="3">
        <v>146.9</v>
      </c>
      <c r="G111" s="3">
        <v>155.6</v>
      </c>
      <c r="H111" s="3">
        <v>137.1</v>
      </c>
      <c r="I111" s="3">
        <v>147.30000000000001</v>
      </c>
      <c r="J111" s="3">
        <v>162.69999999999999</v>
      </c>
      <c r="K111" s="3">
        <v>150.19999999999999</v>
      </c>
      <c r="L111" s="3">
        <v>119.8</v>
      </c>
      <c r="M111" s="3">
        <v>158.69999999999999</v>
      </c>
      <c r="N111" s="3">
        <v>139.19999999999999</v>
      </c>
      <c r="O111" s="3">
        <v>149.08715846994548</v>
      </c>
      <c r="P111" s="3">
        <v>150.1</v>
      </c>
      <c r="Q111" s="3">
        <v>1920.1519125683062</v>
      </c>
      <c r="R111" s="3">
        <v>155.38579234972681</v>
      </c>
      <c r="S111" s="3">
        <v>142.66366120218566</v>
      </c>
      <c r="T111" s="3">
        <v>135.97732240437156</v>
      </c>
      <c r="U111" s="3">
        <v>141.66999999999999</v>
      </c>
      <c r="V111" s="3">
        <v>420.31098360655722</v>
      </c>
      <c r="W111" t="s">
        <v>32</v>
      </c>
      <c r="X111" s="3">
        <v>155.69999999999999</v>
      </c>
      <c r="Y111" s="3">
        <v>148.4</v>
      </c>
      <c r="Z111" s="3">
        <v>136.68</v>
      </c>
      <c r="AA111" s="3">
        <v>154.30000000000001</v>
      </c>
      <c r="AB111" s="3">
        <v>127.17</v>
      </c>
      <c r="AC111" s="3">
        <v>133.88999999999999</v>
      </c>
      <c r="AD111" s="3">
        <v>141.13</v>
      </c>
      <c r="AE111" s="3">
        <v>133.35</v>
      </c>
      <c r="AF111" s="3">
        <v>134.22999999999999</v>
      </c>
      <c r="AG111" s="3">
        <v>665.32</v>
      </c>
      <c r="AH111" s="3">
        <v>139.56</v>
      </c>
      <c r="AI111" s="10" t="str">
        <f t="shared" si="1"/>
        <v>2020 April</v>
      </c>
    </row>
    <row r="112" spans="1:35">
      <c r="A112" t="s">
        <v>33</v>
      </c>
      <c r="B112">
        <v>2020</v>
      </c>
      <c r="C112" t="s">
        <v>37</v>
      </c>
      <c r="D112" s="3">
        <v>151.80000000000001</v>
      </c>
      <c r="E112" s="3">
        <v>156.26475409836061</v>
      </c>
      <c r="F112" s="3">
        <v>151.9</v>
      </c>
      <c r="G112" s="3">
        <v>155.5</v>
      </c>
      <c r="H112" s="3">
        <v>131.6</v>
      </c>
      <c r="I112" s="3">
        <v>152.9</v>
      </c>
      <c r="J112" s="3">
        <v>180</v>
      </c>
      <c r="K112" s="3">
        <v>150.80000000000001</v>
      </c>
      <c r="L112" s="3">
        <v>121.2</v>
      </c>
      <c r="M112" s="3">
        <v>154</v>
      </c>
      <c r="N112" s="3">
        <v>133.5</v>
      </c>
      <c r="O112" s="3">
        <v>149.08715846994548</v>
      </c>
      <c r="P112" s="3">
        <v>153.5</v>
      </c>
      <c r="Q112" s="3">
        <v>1942.0519125683061</v>
      </c>
      <c r="R112" s="3">
        <v>155.38579234972681</v>
      </c>
      <c r="S112" s="3">
        <v>142.66366120218566</v>
      </c>
      <c r="T112" s="3">
        <v>135.97732240437156</v>
      </c>
      <c r="U112" s="3">
        <v>141.66999999999999</v>
      </c>
      <c r="V112" s="3">
        <v>420.31098360655722</v>
      </c>
      <c r="W112">
        <v>155.6</v>
      </c>
      <c r="X112" s="3">
        <v>155.6</v>
      </c>
      <c r="Y112" s="3">
        <v>137.1</v>
      </c>
      <c r="Z112" s="3">
        <v>136.68</v>
      </c>
      <c r="AA112" s="3">
        <v>144.80000000000001</v>
      </c>
      <c r="AB112" s="3">
        <v>127.17</v>
      </c>
      <c r="AC112" s="3">
        <v>133.88999999999999</v>
      </c>
      <c r="AD112" s="3">
        <v>141.13</v>
      </c>
      <c r="AE112" s="3">
        <v>133.35</v>
      </c>
      <c r="AF112" s="3">
        <v>134.22999999999999</v>
      </c>
      <c r="AG112" s="3">
        <v>665.32</v>
      </c>
      <c r="AH112" s="3">
        <v>139.56</v>
      </c>
      <c r="AI112" s="10" t="str">
        <f t="shared" si="1"/>
        <v>2020 April</v>
      </c>
    </row>
    <row r="113" spans="1:35">
      <c r="A113" t="s">
        <v>34</v>
      </c>
      <c r="B113">
        <v>2020</v>
      </c>
      <c r="C113" t="s">
        <v>42</v>
      </c>
      <c r="D113" s="3">
        <v>148.4</v>
      </c>
      <c r="E113" s="3">
        <v>187.1</v>
      </c>
      <c r="F113" s="3">
        <v>152.5</v>
      </c>
      <c r="G113" s="3">
        <v>153.6</v>
      </c>
      <c r="H113" s="3">
        <v>138.19999999999999</v>
      </c>
      <c r="I113" s="3">
        <v>150.9</v>
      </c>
      <c r="J113" s="3">
        <v>186.7</v>
      </c>
      <c r="K113" s="3">
        <v>149.80000000000001</v>
      </c>
      <c r="L113" s="3">
        <v>116.4</v>
      </c>
      <c r="M113" s="3">
        <v>160.30000000000001</v>
      </c>
      <c r="N113" s="3">
        <v>142.19999999999999</v>
      </c>
      <c r="O113" s="3">
        <v>162.9</v>
      </c>
      <c r="P113" s="3">
        <v>158</v>
      </c>
      <c r="Q113" s="3">
        <v>2007</v>
      </c>
      <c r="R113" s="3">
        <v>184.4</v>
      </c>
      <c r="S113" s="3">
        <v>153.4</v>
      </c>
      <c r="T113" s="3">
        <v>144.30000000000001</v>
      </c>
      <c r="U113" s="3">
        <v>152</v>
      </c>
      <c r="V113" s="3">
        <v>449.70000000000005</v>
      </c>
      <c r="W113">
        <v>156.30000000000001</v>
      </c>
      <c r="X113" s="3">
        <v>156.30000000000001</v>
      </c>
      <c r="Y113" s="3">
        <v>142.9</v>
      </c>
      <c r="Z113" s="3">
        <v>148.69999999999999</v>
      </c>
      <c r="AA113" s="3">
        <v>155.6</v>
      </c>
      <c r="AB113" s="3">
        <v>139.6</v>
      </c>
      <c r="AC113" s="3">
        <v>146.6</v>
      </c>
      <c r="AD113" s="3">
        <v>157.5</v>
      </c>
      <c r="AE113" s="3">
        <v>158.4</v>
      </c>
      <c r="AF113" s="3">
        <v>150</v>
      </c>
      <c r="AG113" s="3">
        <v>743.3</v>
      </c>
      <c r="AH113" s="3">
        <v>154.69999999999999</v>
      </c>
      <c r="AI113" s="10" t="str">
        <f t="shared" si="1"/>
        <v>2020 September</v>
      </c>
    </row>
    <row r="114" spans="1:35">
      <c r="A114" t="s">
        <v>34</v>
      </c>
      <c r="B114">
        <v>2020</v>
      </c>
      <c r="C114" t="s">
        <v>43</v>
      </c>
      <c r="D114" s="3">
        <v>147.5</v>
      </c>
      <c r="E114" s="3">
        <v>188.9</v>
      </c>
      <c r="F114" s="3">
        <v>161.4</v>
      </c>
      <c r="G114" s="3">
        <v>153.6</v>
      </c>
      <c r="H114" s="3">
        <v>140.1</v>
      </c>
      <c r="I114" s="3">
        <v>151.19999999999999</v>
      </c>
      <c r="J114" s="3">
        <v>209.2</v>
      </c>
      <c r="K114" s="3">
        <v>150.9</v>
      </c>
      <c r="L114" s="3">
        <v>116.2</v>
      </c>
      <c r="M114" s="3">
        <v>161</v>
      </c>
      <c r="N114" s="3">
        <v>144</v>
      </c>
      <c r="O114" s="3">
        <v>163.19999999999999</v>
      </c>
      <c r="P114" s="3">
        <v>161.4</v>
      </c>
      <c r="Q114" s="3">
        <v>2048.6000000000004</v>
      </c>
      <c r="R114" s="3">
        <v>184.3</v>
      </c>
      <c r="S114" s="3">
        <v>153.69999999999999</v>
      </c>
      <c r="T114" s="3">
        <v>144.6</v>
      </c>
      <c r="U114" s="3">
        <v>152.30000000000001</v>
      </c>
      <c r="V114" s="3">
        <v>450.59999999999997</v>
      </c>
      <c r="W114">
        <v>156.5</v>
      </c>
      <c r="X114" s="3">
        <v>156.5</v>
      </c>
      <c r="Y114" s="3">
        <v>143.1</v>
      </c>
      <c r="Z114" s="3">
        <v>148.69999999999999</v>
      </c>
      <c r="AA114" s="3">
        <v>156.30000000000001</v>
      </c>
      <c r="AB114" s="3">
        <v>140.6</v>
      </c>
      <c r="AC114" s="3">
        <v>146.5</v>
      </c>
      <c r="AD114" s="3">
        <v>158.5</v>
      </c>
      <c r="AE114" s="3">
        <v>157</v>
      </c>
      <c r="AF114" s="3">
        <v>150.4</v>
      </c>
      <c r="AG114" s="3">
        <v>743.19999999999993</v>
      </c>
      <c r="AH114" s="3">
        <v>156.4</v>
      </c>
      <c r="AI114" s="10" t="str">
        <f t="shared" si="1"/>
        <v>2020 October</v>
      </c>
    </row>
    <row r="115" spans="1:35">
      <c r="A115" t="s">
        <v>34</v>
      </c>
      <c r="B115">
        <v>2020</v>
      </c>
      <c r="C115" t="s">
        <v>45</v>
      </c>
      <c r="D115" s="3">
        <v>146.80000000000001</v>
      </c>
      <c r="E115" s="3">
        <v>191</v>
      </c>
      <c r="F115" s="3">
        <v>173.6</v>
      </c>
      <c r="G115" s="3">
        <v>153.80000000000001</v>
      </c>
      <c r="H115" s="3">
        <v>142.69999999999999</v>
      </c>
      <c r="I115" s="3">
        <v>148.4</v>
      </c>
      <c r="J115" s="3">
        <v>230</v>
      </c>
      <c r="K115" s="3">
        <v>156.80000000000001</v>
      </c>
      <c r="L115" s="3">
        <v>115.7</v>
      </c>
      <c r="M115" s="3">
        <v>161.80000000000001</v>
      </c>
      <c r="N115" s="3">
        <v>146.5</v>
      </c>
      <c r="O115" s="3">
        <v>163.80000000000001</v>
      </c>
      <c r="P115" s="3">
        <v>164.7</v>
      </c>
      <c r="Q115" s="3">
        <v>2095.6</v>
      </c>
      <c r="R115" s="3">
        <v>184.8</v>
      </c>
      <c r="S115" s="3">
        <v>154.30000000000001</v>
      </c>
      <c r="T115" s="3">
        <v>144.9</v>
      </c>
      <c r="U115" s="3">
        <v>152.80000000000001</v>
      </c>
      <c r="V115" s="3">
        <v>452.00000000000006</v>
      </c>
      <c r="W115">
        <v>158</v>
      </c>
      <c r="X115" s="3">
        <v>158</v>
      </c>
      <c r="Y115" s="3">
        <v>143.6</v>
      </c>
      <c r="Z115" s="3">
        <v>149.19999999999999</v>
      </c>
      <c r="AA115" s="3">
        <v>157.19999999999999</v>
      </c>
      <c r="AB115" s="3">
        <v>140.4</v>
      </c>
      <c r="AC115" s="3">
        <v>148.4</v>
      </c>
      <c r="AD115" s="3">
        <v>158.6</v>
      </c>
      <c r="AE115" s="3">
        <v>156.9</v>
      </c>
      <c r="AF115" s="3">
        <v>150.69999999999999</v>
      </c>
      <c r="AG115" s="3">
        <v>745.59999999999991</v>
      </c>
      <c r="AH115" s="3">
        <v>158.4</v>
      </c>
      <c r="AI115" s="10" t="str">
        <f t="shared" si="1"/>
        <v>2020 November</v>
      </c>
    </row>
    <row r="116" spans="1:35">
      <c r="A116" t="s">
        <v>34</v>
      </c>
      <c r="B116">
        <v>2020</v>
      </c>
      <c r="C116" t="s">
        <v>38</v>
      </c>
      <c r="D116" s="3">
        <v>136.68590785907853</v>
      </c>
      <c r="E116" s="3">
        <v>156.26475409836061</v>
      </c>
      <c r="F116" s="3">
        <v>140.79756097560974</v>
      </c>
      <c r="G116" s="3">
        <v>140.32520325203262</v>
      </c>
      <c r="H116" s="3">
        <v>132.1</v>
      </c>
      <c r="I116" s="3">
        <v>140.79756097560974</v>
      </c>
      <c r="J116" s="3">
        <v>155.80000000000001</v>
      </c>
      <c r="K116" s="3">
        <v>141.4</v>
      </c>
      <c r="L116" s="3">
        <v>110.9</v>
      </c>
      <c r="M116" s="3">
        <v>144.5</v>
      </c>
      <c r="N116" s="3">
        <v>134.1</v>
      </c>
      <c r="O116" s="3">
        <v>149.08715846994548</v>
      </c>
      <c r="P116" s="3">
        <v>142.51002710027106</v>
      </c>
      <c r="Q116" s="3">
        <v>1825.268172730908</v>
      </c>
      <c r="R116" s="3">
        <v>155.38579234972681</v>
      </c>
      <c r="S116" s="3">
        <v>142.66366120218566</v>
      </c>
      <c r="T116" s="3">
        <v>135.97732240437156</v>
      </c>
      <c r="U116" s="3">
        <v>141.66999999999999</v>
      </c>
      <c r="V116" s="3">
        <v>420.31098360655722</v>
      </c>
      <c r="W116" t="s">
        <v>32</v>
      </c>
      <c r="X116" s="3">
        <v>155.69999999999999</v>
      </c>
      <c r="Y116" s="3">
        <v>136.51</v>
      </c>
      <c r="Z116" s="3">
        <v>136.68</v>
      </c>
      <c r="AA116" s="3">
        <v>138.51</v>
      </c>
      <c r="AB116" s="3">
        <v>127.17</v>
      </c>
      <c r="AC116" s="3">
        <v>133.88999999999999</v>
      </c>
      <c r="AD116" s="3">
        <v>141.13</v>
      </c>
      <c r="AE116" s="3">
        <v>133.35</v>
      </c>
      <c r="AF116" s="3">
        <v>134.22999999999999</v>
      </c>
      <c r="AG116" s="3">
        <v>665.32</v>
      </c>
      <c r="AH116" s="3">
        <v>139.56</v>
      </c>
      <c r="AI116" s="10" t="str">
        <f t="shared" si="1"/>
        <v>2020 May</v>
      </c>
    </row>
    <row r="117" spans="1:35">
      <c r="A117" t="s">
        <v>34</v>
      </c>
      <c r="B117">
        <v>2020</v>
      </c>
      <c r="C117" t="s">
        <v>36</v>
      </c>
      <c r="D117" s="3">
        <v>145.1</v>
      </c>
      <c r="E117" s="3">
        <v>167</v>
      </c>
      <c r="F117" s="3">
        <v>148.1</v>
      </c>
      <c r="G117" s="3">
        <v>151.5</v>
      </c>
      <c r="H117" s="3">
        <v>131.19999999999999</v>
      </c>
      <c r="I117" s="3">
        <v>142.5</v>
      </c>
      <c r="J117" s="3">
        <v>157.30000000000001</v>
      </c>
      <c r="K117" s="3">
        <v>141.1</v>
      </c>
      <c r="L117" s="3">
        <v>113.2</v>
      </c>
      <c r="M117" s="3">
        <v>153.19999999999999</v>
      </c>
      <c r="N117" s="3">
        <v>136.69999999999999</v>
      </c>
      <c r="O117" s="3">
        <v>159.6</v>
      </c>
      <c r="P117" s="3">
        <v>148.9</v>
      </c>
      <c r="Q117" s="3">
        <v>1895.4</v>
      </c>
      <c r="R117" s="3">
        <v>171.2</v>
      </c>
      <c r="S117" s="3">
        <v>151.19999999999999</v>
      </c>
      <c r="T117" s="3">
        <v>141.9</v>
      </c>
      <c r="U117" s="3">
        <v>149.80000000000001</v>
      </c>
      <c r="V117" s="3">
        <v>442.90000000000003</v>
      </c>
      <c r="W117">
        <v>154.5</v>
      </c>
      <c r="X117" s="3">
        <v>154.5</v>
      </c>
      <c r="Y117" s="3">
        <v>148.9</v>
      </c>
      <c r="Z117" s="3">
        <v>146.4</v>
      </c>
      <c r="AA117" s="3">
        <v>152.30000000000001</v>
      </c>
      <c r="AB117" s="3">
        <v>129.9</v>
      </c>
      <c r="AC117" s="3">
        <v>143.69999999999999</v>
      </c>
      <c r="AD117" s="3">
        <v>156.1</v>
      </c>
      <c r="AE117" s="3">
        <v>145.19999999999999</v>
      </c>
      <c r="AF117" s="3">
        <v>143.80000000000001</v>
      </c>
      <c r="AG117" s="3">
        <v>709</v>
      </c>
      <c r="AH117" s="3">
        <v>148.6</v>
      </c>
      <c r="AI117" s="10" t="str">
        <f t="shared" si="1"/>
        <v>2020 March</v>
      </c>
    </row>
    <row r="118" spans="1:35">
      <c r="A118" t="s">
        <v>34</v>
      </c>
      <c r="B118">
        <v>2020</v>
      </c>
      <c r="C118" t="s">
        <v>39</v>
      </c>
      <c r="D118" s="3">
        <v>149.6</v>
      </c>
      <c r="E118" s="3">
        <v>192.7</v>
      </c>
      <c r="F118" s="3">
        <v>151.4</v>
      </c>
      <c r="G118" s="3">
        <v>153.30000000000001</v>
      </c>
      <c r="H118" s="3">
        <v>136.30000000000001</v>
      </c>
      <c r="I118" s="3">
        <v>147.19999999999999</v>
      </c>
      <c r="J118" s="3">
        <v>156.5</v>
      </c>
      <c r="K118" s="3">
        <v>150.9</v>
      </c>
      <c r="L118" s="3">
        <v>114.2</v>
      </c>
      <c r="M118" s="3">
        <v>159.5</v>
      </c>
      <c r="N118" s="3">
        <v>139.4</v>
      </c>
      <c r="O118" s="3">
        <v>161.80000000000001</v>
      </c>
      <c r="P118" s="3">
        <v>154</v>
      </c>
      <c r="Q118" s="3">
        <v>1966.8000000000002</v>
      </c>
      <c r="R118" s="3">
        <v>183.5</v>
      </c>
      <c r="S118" s="3">
        <v>152.5</v>
      </c>
      <c r="T118" s="3">
        <v>144.4</v>
      </c>
      <c r="U118" s="3">
        <v>151.4</v>
      </c>
      <c r="V118" s="3">
        <v>448.29999999999995</v>
      </c>
      <c r="W118">
        <v>154.69999999999999</v>
      </c>
      <c r="X118" s="3">
        <v>154.69999999999999</v>
      </c>
      <c r="Y118" s="3">
        <v>141.9</v>
      </c>
      <c r="Z118" s="3">
        <v>146.4</v>
      </c>
      <c r="AA118" s="3">
        <v>154.4</v>
      </c>
      <c r="AB118" s="3">
        <v>135</v>
      </c>
      <c r="AC118" s="3">
        <v>148.30000000000001</v>
      </c>
      <c r="AD118" s="3">
        <v>156.4</v>
      </c>
      <c r="AE118" s="3">
        <v>151.6</v>
      </c>
      <c r="AF118" s="3">
        <v>147</v>
      </c>
      <c r="AG118" s="3">
        <v>728.3</v>
      </c>
      <c r="AH118" s="3">
        <v>151.80000000000001</v>
      </c>
      <c r="AI118" s="10" t="str">
        <f t="shared" si="1"/>
        <v>2020 June</v>
      </c>
    </row>
    <row r="119" spans="1:35">
      <c r="A119" t="s">
        <v>34</v>
      </c>
      <c r="B119">
        <v>2020</v>
      </c>
      <c r="C119" t="s">
        <v>40</v>
      </c>
      <c r="D119" s="3">
        <v>149.6</v>
      </c>
      <c r="E119" s="3">
        <v>192.7</v>
      </c>
      <c r="F119" s="3">
        <v>151.4</v>
      </c>
      <c r="G119" s="3">
        <v>153.30000000000001</v>
      </c>
      <c r="H119" s="3">
        <v>136.30000000000001</v>
      </c>
      <c r="I119" s="3">
        <v>147.19999999999999</v>
      </c>
      <c r="J119" s="3">
        <v>156.5</v>
      </c>
      <c r="K119" s="3">
        <v>150.9</v>
      </c>
      <c r="L119" s="3">
        <v>114.2</v>
      </c>
      <c r="M119" s="3">
        <v>159.5</v>
      </c>
      <c r="N119" s="3">
        <v>139.4</v>
      </c>
      <c r="O119" s="3">
        <v>161.80000000000001</v>
      </c>
      <c r="P119" s="3">
        <v>154</v>
      </c>
      <c r="Q119" s="3">
        <v>1966.8000000000002</v>
      </c>
      <c r="R119" s="3">
        <v>183.5</v>
      </c>
      <c r="S119" s="3">
        <v>152.5</v>
      </c>
      <c r="T119" s="3">
        <v>144.4</v>
      </c>
      <c r="U119" s="3">
        <v>151.4</v>
      </c>
      <c r="V119" s="3">
        <v>448.29999999999995</v>
      </c>
      <c r="W119">
        <v>154.69999999999999</v>
      </c>
      <c r="X119" s="3">
        <v>154.69999999999999</v>
      </c>
      <c r="Y119" s="3">
        <v>141.9</v>
      </c>
      <c r="Z119" s="3">
        <v>146.4</v>
      </c>
      <c r="AA119" s="3">
        <v>154.4</v>
      </c>
      <c r="AB119" s="3">
        <v>135</v>
      </c>
      <c r="AC119" s="3">
        <v>148.30000000000001</v>
      </c>
      <c r="AD119" s="3">
        <v>156.4</v>
      </c>
      <c r="AE119" s="3">
        <v>151.6</v>
      </c>
      <c r="AF119" s="3">
        <v>147</v>
      </c>
      <c r="AG119" s="3">
        <v>728.3</v>
      </c>
      <c r="AH119" s="3">
        <v>151.80000000000001</v>
      </c>
      <c r="AI119" s="10" t="str">
        <f t="shared" si="1"/>
        <v>2020 July</v>
      </c>
    </row>
    <row r="120" spans="1:35">
      <c r="A120" t="s">
        <v>34</v>
      </c>
      <c r="B120">
        <v>2020</v>
      </c>
      <c r="C120" t="s">
        <v>31</v>
      </c>
      <c r="D120" s="3">
        <v>144.30000000000001</v>
      </c>
      <c r="E120" s="3">
        <v>167.4</v>
      </c>
      <c r="F120" s="3">
        <v>154.9</v>
      </c>
      <c r="G120" s="3">
        <v>150.1</v>
      </c>
      <c r="H120" s="3">
        <v>129.9</v>
      </c>
      <c r="I120" s="3">
        <v>143.19999999999999</v>
      </c>
      <c r="J120" s="3">
        <v>197</v>
      </c>
      <c r="K120" s="3">
        <v>140.4</v>
      </c>
      <c r="L120" s="3">
        <v>114.1</v>
      </c>
      <c r="M120" s="3">
        <v>150.9</v>
      </c>
      <c r="N120" s="3">
        <v>136.1</v>
      </c>
      <c r="O120" s="3">
        <v>158.6</v>
      </c>
      <c r="P120" s="3">
        <v>153.5</v>
      </c>
      <c r="Q120" s="3">
        <v>1940.3999999999999</v>
      </c>
      <c r="R120" s="3">
        <v>169.2</v>
      </c>
      <c r="S120" s="3">
        <v>150.5</v>
      </c>
      <c r="T120" s="3">
        <v>141.5</v>
      </c>
      <c r="U120" s="3">
        <v>149.19999999999999</v>
      </c>
      <c r="V120" s="3">
        <v>441.2</v>
      </c>
      <c r="W120">
        <v>153.9</v>
      </c>
      <c r="X120" s="3">
        <v>153.9</v>
      </c>
      <c r="Y120" s="3">
        <v>144.6</v>
      </c>
      <c r="Z120" s="3">
        <v>146.19999999999999</v>
      </c>
      <c r="AA120" s="3">
        <v>151.19999999999999</v>
      </c>
      <c r="AB120" s="3">
        <v>130.9</v>
      </c>
      <c r="AC120" s="3">
        <v>142.80000000000001</v>
      </c>
      <c r="AD120" s="3">
        <v>156.1</v>
      </c>
      <c r="AE120" s="3">
        <v>142.30000000000001</v>
      </c>
      <c r="AF120" s="3">
        <v>143.4</v>
      </c>
      <c r="AG120" s="3">
        <v>705.6</v>
      </c>
      <c r="AH120" s="3">
        <v>150.19999999999999</v>
      </c>
      <c r="AI120" s="10" t="str">
        <f t="shared" si="1"/>
        <v>2020 January</v>
      </c>
    </row>
    <row r="121" spans="1:35">
      <c r="A121" t="s">
        <v>34</v>
      </c>
      <c r="B121">
        <v>2020</v>
      </c>
      <c r="C121" t="s">
        <v>35</v>
      </c>
      <c r="D121" s="3">
        <v>144.80000000000001</v>
      </c>
      <c r="E121" s="3">
        <v>167.5</v>
      </c>
      <c r="F121" s="3">
        <v>151.80000000000001</v>
      </c>
      <c r="G121" s="3">
        <v>150.80000000000001</v>
      </c>
      <c r="H121" s="3">
        <v>131.4</v>
      </c>
      <c r="I121" s="3">
        <v>141.80000000000001</v>
      </c>
      <c r="J121" s="3">
        <v>170.7</v>
      </c>
      <c r="K121" s="3">
        <v>141.1</v>
      </c>
      <c r="L121" s="3">
        <v>113.6</v>
      </c>
      <c r="M121" s="3">
        <v>152</v>
      </c>
      <c r="N121" s="3">
        <v>136.5</v>
      </c>
      <c r="O121" s="3">
        <v>159.1</v>
      </c>
      <c r="P121" s="3">
        <v>150.5</v>
      </c>
      <c r="Q121" s="3">
        <v>1911.6</v>
      </c>
      <c r="R121" s="3">
        <v>170.1</v>
      </c>
      <c r="S121" s="3">
        <v>150.80000000000001</v>
      </c>
      <c r="T121" s="3">
        <v>141.69999999999999</v>
      </c>
      <c r="U121" s="3">
        <v>149.5</v>
      </c>
      <c r="V121" s="3">
        <v>442</v>
      </c>
      <c r="W121">
        <v>154.80000000000001</v>
      </c>
      <c r="X121" s="3">
        <v>154.80000000000001</v>
      </c>
      <c r="Y121" s="3">
        <v>147.19999999999999</v>
      </c>
      <c r="Z121" s="3">
        <v>146.4</v>
      </c>
      <c r="AA121" s="3">
        <v>151.69999999999999</v>
      </c>
      <c r="AB121" s="3">
        <v>130.30000000000001</v>
      </c>
      <c r="AC121" s="3">
        <v>143.19999999999999</v>
      </c>
      <c r="AD121" s="3">
        <v>156.19999999999999</v>
      </c>
      <c r="AE121" s="3">
        <v>143.4</v>
      </c>
      <c r="AF121" s="3">
        <v>143.6</v>
      </c>
      <c r="AG121" s="3">
        <v>706.90000000000009</v>
      </c>
      <c r="AH121" s="3">
        <v>149.1</v>
      </c>
      <c r="AI121" s="10" t="str">
        <f t="shared" si="1"/>
        <v>2020 February</v>
      </c>
    </row>
    <row r="122" spans="1:35">
      <c r="A122" t="s">
        <v>34</v>
      </c>
      <c r="B122">
        <v>2020</v>
      </c>
      <c r="C122" t="s">
        <v>46</v>
      </c>
      <c r="D122" s="3">
        <v>146</v>
      </c>
      <c r="E122" s="3">
        <v>191</v>
      </c>
      <c r="F122" s="3">
        <v>175.3</v>
      </c>
      <c r="G122" s="3">
        <v>154.1</v>
      </c>
      <c r="H122" s="3">
        <v>146.6</v>
      </c>
      <c r="I122" s="3">
        <v>147.69999999999999</v>
      </c>
      <c r="J122" s="3">
        <v>230.5</v>
      </c>
      <c r="K122" s="3">
        <v>160.19999999999999</v>
      </c>
      <c r="L122" s="3">
        <v>115.3</v>
      </c>
      <c r="M122" s="3">
        <v>163</v>
      </c>
      <c r="N122" s="3">
        <v>149.19999999999999</v>
      </c>
      <c r="O122" s="3">
        <v>164.8</v>
      </c>
      <c r="P122" s="3">
        <v>165.4</v>
      </c>
      <c r="Q122" s="3">
        <v>2109.1</v>
      </c>
      <c r="R122" s="3">
        <v>185.4</v>
      </c>
      <c r="S122" s="3">
        <v>155</v>
      </c>
      <c r="T122" s="3">
        <v>145.4</v>
      </c>
      <c r="U122" s="3">
        <v>153.6</v>
      </c>
      <c r="V122" s="3">
        <v>454</v>
      </c>
      <c r="W122">
        <v>158.4</v>
      </c>
      <c r="X122" s="3">
        <v>158.4</v>
      </c>
      <c r="Y122" s="3">
        <v>144.6</v>
      </c>
      <c r="Z122" s="3">
        <v>149.69999999999999</v>
      </c>
      <c r="AA122" s="3">
        <v>158.30000000000001</v>
      </c>
      <c r="AB122" s="3">
        <v>140.69999999999999</v>
      </c>
      <c r="AC122" s="3">
        <v>148.5</v>
      </c>
      <c r="AD122" s="3">
        <v>159.4</v>
      </c>
      <c r="AE122" s="3">
        <v>157.1</v>
      </c>
      <c r="AF122" s="3">
        <v>151.19999999999999</v>
      </c>
      <c r="AG122" s="3">
        <v>747.2</v>
      </c>
      <c r="AH122" s="3">
        <v>158.9</v>
      </c>
      <c r="AI122" s="10" t="str">
        <f t="shared" si="1"/>
        <v>2020 December</v>
      </c>
    </row>
    <row r="123" spans="1:35">
      <c r="A123" t="s">
        <v>34</v>
      </c>
      <c r="B123">
        <v>2020</v>
      </c>
      <c r="C123" t="s">
        <v>41</v>
      </c>
      <c r="D123" s="3">
        <v>148.9</v>
      </c>
      <c r="E123" s="3">
        <v>190.9</v>
      </c>
      <c r="F123" s="3">
        <v>150.80000000000001</v>
      </c>
      <c r="G123" s="3">
        <v>153.30000000000001</v>
      </c>
      <c r="H123" s="3">
        <v>137.4</v>
      </c>
      <c r="I123" s="3">
        <v>150.4</v>
      </c>
      <c r="J123" s="3">
        <v>178.1</v>
      </c>
      <c r="K123" s="3">
        <v>150.4</v>
      </c>
      <c r="L123" s="3">
        <v>115.1</v>
      </c>
      <c r="M123" s="3">
        <v>160</v>
      </c>
      <c r="N123" s="3">
        <v>140.6</v>
      </c>
      <c r="O123" s="3">
        <v>162.30000000000001</v>
      </c>
      <c r="P123" s="3">
        <v>157</v>
      </c>
      <c r="Q123" s="3">
        <v>1995.1999999999998</v>
      </c>
      <c r="R123" s="3">
        <v>182.6</v>
      </c>
      <c r="S123" s="3">
        <v>153.1</v>
      </c>
      <c r="T123" s="3">
        <v>143.4</v>
      </c>
      <c r="U123" s="3">
        <v>151.69999999999999</v>
      </c>
      <c r="V123" s="3">
        <v>448.2</v>
      </c>
      <c r="W123">
        <v>155.5</v>
      </c>
      <c r="X123" s="3">
        <v>155.5</v>
      </c>
      <c r="Y123" s="3">
        <v>143</v>
      </c>
      <c r="Z123" s="3">
        <v>148.4</v>
      </c>
      <c r="AA123" s="3">
        <v>155</v>
      </c>
      <c r="AB123" s="3">
        <v>138.5</v>
      </c>
      <c r="AC123" s="3">
        <v>146</v>
      </c>
      <c r="AD123" s="3">
        <v>158.5</v>
      </c>
      <c r="AE123" s="3">
        <v>154.30000000000001</v>
      </c>
      <c r="AF123" s="3">
        <v>149</v>
      </c>
      <c r="AG123" s="3">
        <v>736.2</v>
      </c>
      <c r="AH123" s="3">
        <v>153.9</v>
      </c>
      <c r="AI123" s="10" t="str">
        <f t="shared" si="1"/>
        <v>2020 August</v>
      </c>
    </row>
    <row r="124" spans="1:35">
      <c r="A124" t="s">
        <v>34</v>
      </c>
      <c r="B124">
        <v>2020</v>
      </c>
      <c r="C124" t="s">
        <v>37</v>
      </c>
      <c r="D124" s="3">
        <v>148.69999999999999</v>
      </c>
      <c r="E124" s="3">
        <v>156.26475409836061</v>
      </c>
      <c r="F124" s="3">
        <v>148.80000000000001</v>
      </c>
      <c r="G124" s="3">
        <v>155.6</v>
      </c>
      <c r="H124" s="3">
        <v>135.1</v>
      </c>
      <c r="I124" s="3">
        <v>149.9</v>
      </c>
      <c r="J124" s="3">
        <v>168.6</v>
      </c>
      <c r="K124" s="3">
        <v>150.4</v>
      </c>
      <c r="L124" s="3">
        <v>120.3</v>
      </c>
      <c r="M124" s="3">
        <v>157.1</v>
      </c>
      <c r="N124" s="3">
        <v>136.80000000000001</v>
      </c>
      <c r="O124" s="3">
        <v>149.08715846994548</v>
      </c>
      <c r="P124" s="3">
        <v>151.4</v>
      </c>
      <c r="Q124" s="3">
        <v>1928.0519125683061</v>
      </c>
      <c r="R124" s="3">
        <v>155.38579234972681</v>
      </c>
      <c r="S124" s="3">
        <v>142.66366120218566</v>
      </c>
      <c r="T124" s="3">
        <v>135.97732240437156</v>
      </c>
      <c r="U124" s="3">
        <v>141.66999999999999</v>
      </c>
      <c r="V124" s="3">
        <v>420.31098360655722</v>
      </c>
      <c r="W124">
        <v>155.6</v>
      </c>
      <c r="X124" s="3">
        <v>155.6</v>
      </c>
      <c r="Y124" s="3">
        <v>144.1</v>
      </c>
      <c r="Z124" s="3">
        <v>136.68</v>
      </c>
      <c r="AA124" s="3">
        <v>150.69999999999999</v>
      </c>
      <c r="AB124" s="3">
        <v>127.17</v>
      </c>
      <c r="AC124" s="3">
        <v>133.88999999999999</v>
      </c>
      <c r="AD124" s="3">
        <v>141.13</v>
      </c>
      <c r="AE124" s="3">
        <v>133.35</v>
      </c>
      <c r="AF124" s="3">
        <v>134.22999999999999</v>
      </c>
      <c r="AG124" s="3">
        <v>665.32</v>
      </c>
      <c r="AH124" s="3">
        <v>139.56</v>
      </c>
      <c r="AI124" s="10" t="str">
        <f t="shared" si="1"/>
        <v>2020 April</v>
      </c>
    </row>
    <row r="125" spans="1:35">
      <c r="A125" t="s">
        <v>34</v>
      </c>
      <c r="B125">
        <v>2019</v>
      </c>
      <c r="C125" t="s">
        <v>42</v>
      </c>
      <c r="D125" s="3">
        <v>140.9</v>
      </c>
      <c r="E125" s="3">
        <v>160.80000000000001</v>
      </c>
      <c r="F125" s="3">
        <v>139.6</v>
      </c>
      <c r="G125" s="3">
        <v>145.4</v>
      </c>
      <c r="H125" s="3">
        <v>123.5</v>
      </c>
      <c r="I125" s="3">
        <v>146.6</v>
      </c>
      <c r="J125" s="3">
        <v>173.2</v>
      </c>
      <c r="K125" s="3">
        <v>131.6</v>
      </c>
      <c r="L125" s="3">
        <v>113.2</v>
      </c>
      <c r="M125" s="3">
        <v>144.1</v>
      </c>
      <c r="N125" s="3">
        <v>135</v>
      </c>
      <c r="O125" s="3">
        <v>156.80000000000001</v>
      </c>
      <c r="P125" s="3">
        <v>147</v>
      </c>
      <c r="Q125" s="3">
        <v>1857.6999999999998</v>
      </c>
      <c r="R125" s="3">
        <v>166.5</v>
      </c>
      <c r="S125" s="3">
        <v>149.19999999999999</v>
      </c>
      <c r="T125" s="3">
        <v>140.6</v>
      </c>
      <c r="U125" s="3">
        <v>147.9</v>
      </c>
      <c r="V125" s="3">
        <v>437.69999999999993</v>
      </c>
      <c r="W125">
        <v>152.19999999999999</v>
      </c>
      <c r="X125" s="3">
        <v>152.19999999999999</v>
      </c>
      <c r="Y125" s="3">
        <v>139.19999999999999</v>
      </c>
      <c r="Z125" s="3">
        <v>144.6</v>
      </c>
      <c r="AA125" s="3">
        <v>149</v>
      </c>
      <c r="AB125" s="3">
        <v>126.1</v>
      </c>
      <c r="AC125" s="3">
        <v>141.30000000000001</v>
      </c>
      <c r="AD125" s="3">
        <v>155.19999999999999</v>
      </c>
      <c r="AE125" s="3">
        <v>139.69999999999999</v>
      </c>
      <c r="AF125" s="3">
        <v>140.69999999999999</v>
      </c>
      <c r="AG125" s="3">
        <v>692.40000000000009</v>
      </c>
      <c r="AH125" s="3">
        <v>145.80000000000001</v>
      </c>
      <c r="AI125" s="10" t="str">
        <f t="shared" si="1"/>
        <v>2019 September</v>
      </c>
    </row>
    <row r="126" spans="1:35">
      <c r="A126" t="s">
        <v>34</v>
      </c>
      <c r="B126">
        <v>2019</v>
      </c>
      <c r="C126" t="s">
        <v>43</v>
      </c>
      <c r="D126" s="3">
        <v>141.80000000000001</v>
      </c>
      <c r="E126" s="3">
        <v>161</v>
      </c>
      <c r="F126" s="3">
        <v>142.6</v>
      </c>
      <c r="G126" s="3">
        <v>146.19999999999999</v>
      </c>
      <c r="H126" s="3">
        <v>123.9</v>
      </c>
      <c r="I126" s="3">
        <v>148</v>
      </c>
      <c r="J126" s="3">
        <v>188.4</v>
      </c>
      <c r="K126" s="3">
        <v>132.5</v>
      </c>
      <c r="L126" s="3">
        <v>114</v>
      </c>
      <c r="M126" s="3">
        <v>145.4</v>
      </c>
      <c r="N126" s="3">
        <v>135.1</v>
      </c>
      <c r="O126" s="3">
        <v>157.1</v>
      </c>
      <c r="P126" s="3">
        <v>149.6</v>
      </c>
      <c r="Q126" s="3">
        <v>1885.5999999999997</v>
      </c>
      <c r="R126" s="3">
        <v>167.1</v>
      </c>
      <c r="S126" s="3">
        <v>149.4</v>
      </c>
      <c r="T126" s="3">
        <v>140.80000000000001</v>
      </c>
      <c r="U126" s="3">
        <v>148.19999999999999</v>
      </c>
      <c r="V126" s="3">
        <v>438.40000000000003</v>
      </c>
      <c r="W126">
        <v>153</v>
      </c>
      <c r="X126" s="3">
        <v>153</v>
      </c>
      <c r="Y126" s="3">
        <v>140.6</v>
      </c>
      <c r="Z126" s="3">
        <v>145</v>
      </c>
      <c r="AA126" s="3">
        <v>149.4</v>
      </c>
      <c r="AB126" s="3">
        <v>126.3</v>
      </c>
      <c r="AC126" s="3">
        <v>141.69999999999999</v>
      </c>
      <c r="AD126" s="3">
        <v>155.4</v>
      </c>
      <c r="AE126" s="3">
        <v>140</v>
      </c>
      <c r="AF126" s="3">
        <v>141</v>
      </c>
      <c r="AG126" s="3">
        <v>694</v>
      </c>
      <c r="AH126" s="3">
        <v>147.19999999999999</v>
      </c>
      <c r="AI126" s="10" t="str">
        <f t="shared" si="1"/>
        <v>2019 October</v>
      </c>
    </row>
    <row r="127" spans="1:35">
      <c r="A127" t="s">
        <v>34</v>
      </c>
      <c r="B127">
        <v>2019</v>
      </c>
      <c r="C127" t="s">
        <v>45</v>
      </c>
      <c r="D127" s="3">
        <v>142.5</v>
      </c>
      <c r="E127" s="3">
        <v>163.19999999999999</v>
      </c>
      <c r="F127" s="3">
        <v>145.6</v>
      </c>
      <c r="G127" s="3">
        <v>146.69999999999999</v>
      </c>
      <c r="H127" s="3">
        <v>124.3</v>
      </c>
      <c r="I127" s="3">
        <v>147.4</v>
      </c>
      <c r="J127" s="3">
        <v>199.6</v>
      </c>
      <c r="K127" s="3">
        <v>135.69999999999999</v>
      </c>
      <c r="L127" s="3">
        <v>114.2</v>
      </c>
      <c r="M127" s="3">
        <v>147</v>
      </c>
      <c r="N127" s="3">
        <v>135.30000000000001</v>
      </c>
      <c r="O127" s="3">
        <v>157.5</v>
      </c>
      <c r="P127" s="3">
        <v>151.9</v>
      </c>
      <c r="Q127" s="3">
        <v>1910.9</v>
      </c>
      <c r="R127" s="3">
        <v>167.9</v>
      </c>
      <c r="S127" s="3">
        <v>149.9</v>
      </c>
      <c r="T127" s="3">
        <v>141</v>
      </c>
      <c r="U127" s="3">
        <v>148.6</v>
      </c>
      <c r="V127" s="3">
        <v>439.5</v>
      </c>
      <c r="W127">
        <v>153.5</v>
      </c>
      <c r="X127" s="3">
        <v>153.5</v>
      </c>
      <c r="Y127" s="3">
        <v>142.30000000000001</v>
      </c>
      <c r="Z127" s="3">
        <v>145.30000000000001</v>
      </c>
      <c r="AA127" s="3">
        <v>149.9</v>
      </c>
      <c r="AB127" s="3">
        <v>126.6</v>
      </c>
      <c r="AC127" s="3">
        <v>142.1</v>
      </c>
      <c r="AD127" s="3">
        <v>155.5</v>
      </c>
      <c r="AE127" s="3">
        <v>140.30000000000001</v>
      </c>
      <c r="AF127" s="3">
        <v>141.30000000000001</v>
      </c>
      <c r="AG127" s="3">
        <v>695.59999999999991</v>
      </c>
      <c r="AH127" s="3">
        <v>148.6</v>
      </c>
      <c r="AI127" s="10" t="str">
        <f t="shared" si="1"/>
        <v>2019 November</v>
      </c>
    </row>
    <row r="128" spans="1:35">
      <c r="A128" t="s">
        <v>34</v>
      </c>
      <c r="B128">
        <v>2019</v>
      </c>
      <c r="C128" t="s">
        <v>38</v>
      </c>
      <c r="D128" s="3">
        <v>138.30000000000001</v>
      </c>
      <c r="E128" s="3">
        <v>158.5</v>
      </c>
      <c r="F128" s="3">
        <v>136</v>
      </c>
      <c r="G128" s="3">
        <v>142.5</v>
      </c>
      <c r="H128" s="3">
        <v>122</v>
      </c>
      <c r="I128" s="3">
        <v>146.5</v>
      </c>
      <c r="J128" s="3">
        <v>143</v>
      </c>
      <c r="K128" s="3">
        <v>124.9</v>
      </c>
      <c r="L128" s="3">
        <v>109.9</v>
      </c>
      <c r="M128" s="3">
        <v>139.9</v>
      </c>
      <c r="N128" s="3">
        <v>134</v>
      </c>
      <c r="O128" s="3">
        <v>155.5</v>
      </c>
      <c r="P128" s="3">
        <v>140.9</v>
      </c>
      <c r="Q128" s="3">
        <v>1791.9000000000003</v>
      </c>
      <c r="R128" s="3">
        <v>164.1</v>
      </c>
      <c r="S128" s="3">
        <v>148.4</v>
      </c>
      <c r="T128" s="3">
        <v>140.4</v>
      </c>
      <c r="U128" s="3">
        <v>147.30000000000001</v>
      </c>
      <c r="V128" s="3">
        <v>436.1</v>
      </c>
      <c r="W128">
        <v>150.1</v>
      </c>
      <c r="X128" s="3">
        <v>150.1</v>
      </c>
      <c r="Y128" s="3">
        <v>140.30000000000001</v>
      </c>
      <c r="Z128" s="3">
        <v>143.69999999999999</v>
      </c>
      <c r="AA128" s="3">
        <v>146.9</v>
      </c>
      <c r="AB128" s="3">
        <v>124.9</v>
      </c>
      <c r="AC128" s="3">
        <v>139.19999999999999</v>
      </c>
      <c r="AD128" s="3">
        <v>151.6</v>
      </c>
      <c r="AE128" s="3">
        <v>133.4</v>
      </c>
      <c r="AF128" s="3">
        <v>138.19999999999999</v>
      </c>
      <c r="AG128" s="3">
        <v>679.40000000000009</v>
      </c>
      <c r="AH128" s="3">
        <v>142</v>
      </c>
      <c r="AI128" s="10" t="str">
        <f t="shared" si="1"/>
        <v>2019 May</v>
      </c>
    </row>
    <row r="129" spans="1:35">
      <c r="A129" t="s">
        <v>34</v>
      </c>
      <c r="B129">
        <v>2019</v>
      </c>
      <c r="C129" t="s">
        <v>36</v>
      </c>
      <c r="D129" s="3">
        <v>137.80000000000001</v>
      </c>
      <c r="E129" s="3">
        <v>153</v>
      </c>
      <c r="F129" s="3">
        <v>140.30000000000001</v>
      </c>
      <c r="G129" s="3">
        <v>142.30000000000001</v>
      </c>
      <c r="H129" s="3">
        <v>122</v>
      </c>
      <c r="I129" s="3">
        <v>137.6</v>
      </c>
      <c r="J129" s="3">
        <v>132.6</v>
      </c>
      <c r="K129" s="3">
        <v>121.8</v>
      </c>
      <c r="L129" s="3">
        <v>109</v>
      </c>
      <c r="M129" s="3">
        <v>139.5</v>
      </c>
      <c r="N129" s="3">
        <v>133.69999999999999</v>
      </c>
      <c r="O129" s="3">
        <v>155.19999999999999</v>
      </c>
      <c r="P129" s="3">
        <v>138.1</v>
      </c>
      <c r="Q129" s="3">
        <v>1762.9</v>
      </c>
      <c r="R129" s="3">
        <v>163.5</v>
      </c>
      <c r="S129" s="3">
        <v>147.9</v>
      </c>
      <c r="T129" s="3">
        <v>139.9</v>
      </c>
      <c r="U129" s="3">
        <v>146.69999999999999</v>
      </c>
      <c r="V129" s="3">
        <v>434.5</v>
      </c>
      <c r="W129">
        <v>149</v>
      </c>
      <c r="X129" s="3">
        <v>149</v>
      </c>
      <c r="Y129" s="3">
        <v>139.69999999999999</v>
      </c>
      <c r="Z129" s="3">
        <v>143.80000000000001</v>
      </c>
      <c r="AA129" s="3">
        <v>146.19999999999999</v>
      </c>
      <c r="AB129" s="3">
        <v>124.6</v>
      </c>
      <c r="AC129" s="3">
        <v>137.69999999999999</v>
      </c>
      <c r="AD129" s="3">
        <v>150.30000000000001</v>
      </c>
      <c r="AE129" s="3">
        <v>133.4</v>
      </c>
      <c r="AF129" s="3">
        <v>137.69999999999999</v>
      </c>
      <c r="AG129" s="3">
        <v>677.2</v>
      </c>
      <c r="AH129" s="3">
        <v>140.4</v>
      </c>
      <c r="AI129" s="10" t="str">
        <f t="shared" si="1"/>
        <v>2019 March</v>
      </c>
    </row>
    <row r="130" spans="1:35">
      <c r="A130" t="s">
        <v>30</v>
      </c>
      <c r="B130">
        <v>2019</v>
      </c>
      <c r="C130" t="s">
        <v>42</v>
      </c>
      <c r="D130" s="3">
        <v>140.1</v>
      </c>
      <c r="E130" s="3">
        <v>161.9</v>
      </c>
      <c r="F130" s="3">
        <v>138.30000000000001</v>
      </c>
      <c r="G130" s="3">
        <v>145.69999999999999</v>
      </c>
      <c r="H130" s="3">
        <v>125.1</v>
      </c>
      <c r="I130" s="3">
        <v>143.80000000000001</v>
      </c>
      <c r="J130" s="3">
        <v>163.4</v>
      </c>
      <c r="K130" s="3">
        <v>132.19999999999999</v>
      </c>
      <c r="L130" s="3">
        <v>112.8</v>
      </c>
      <c r="M130" s="3">
        <v>144.19999999999999</v>
      </c>
      <c r="N130" s="3">
        <v>138.5</v>
      </c>
      <c r="O130" s="3">
        <v>157.19999999999999</v>
      </c>
      <c r="P130" s="3">
        <v>145.5</v>
      </c>
      <c r="Q130" s="3">
        <v>1848.7</v>
      </c>
      <c r="R130" s="3">
        <v>165.7</v>
      </c>
      <c r="S130" s="3">
        <v>151.69999999999999</v>
      </c>
      <c r="T130" s="3">
        <v>146.6</v>
      </c>
      <c r="U130" s="3">
        <v>151</v>
      </c>
      <c r="V130" s="3">
        <v>449.29999999999995</v>
      </c>
      <c r="W130" t="s">
        <v>32</v>
      </c>
      <c r="X130" s="3">
        <v>150.69999999999999</v>
      </c>
      <c r="Y130" s="3">
        <v>146.9</v>
      </c>
      <c r="Z130" s="3">
        <v>150.30000000000001</v>
      </c>
      <c r="AA130" s="3">
        <v>153.4</v>
      </c>
      <c r="AB130" s="3">
        <v>131.6</v>
      </c>
      <c r="AC130" s="3">
        <v>148.30000000000001</v>
      </c>
      <c r="AD130" s="3">
        <v>160.19999999999999</v>
      </c>
      <c r="AE130" s="3">
        <v>140.19999999999999</v>
      </c>
      <c r="AF130" s="3">
        <v>145.4</v>
      </c>
      <c r="AG130" s="3">
        <v>715.8</v>
      </c>
      <c r="AH130" s="3">
        <v>146.69999999999999</v>
      </c>
      <c r="AI130" s="10" t="str">
        <f t="shared" ref="AI130:AI193" si="2">CONCATENATE(B130," ",C130)</f>
        <v>2019 September</v>
      </c>
    </row>
    <row r="131" spans="1:35">
      <c r="A131" t="s">
        <v>33</v>
      </c>
      <c r="B131">
        <v>2019</v>
      </c>
      <c r="C131" t="s">
        <v>42</v>
      </c>
      <c r="D131" s="3">
        <v>142.69999999999999</v>
      </c>
      <c r="E131" s="3">
        <v>158.69999999999999</v>
      </c>
      <c r="F131" s="3">
        <v>141.6</v>
      </c>
      <c r="G131" s="3">
        <v>144.9</v>
      </c>
      <c r="H131" s="3">
        <v>120.8</v>
      </c>
      <c r="I131" s="3">
        <v>149.80000000000001</v>
      </c>
      <c r="J131" s="3">
        <v>192.4</v>
      </c>
      <c r="K131" s="3">
        <v>130.30000000000001</v>
      </c>
      <c r="L131" s="3">
        <v>114</v>
      </c>
      <c r="M131" s="3">
        <v>143.80000000000001</v>
      </c>
      <c r="N131" s="3">
        <v>130</v>
      </c>
      <c r="O131" s="3">
        <v>156.4</v>
      </c>
      <c r="P131" s="3">
        <v>149.5</v>
      </c>
      <c r="Q131" s="3">
        <v>1874.9</v>
      </c>
      <c r="R131" s="3">
        <v>168.6</v>
      </c>
      <c r="S131" s="3">
        <v>145.30000000000001</v>
      </c>
      <c r="T131" s="3">
        <v>132.19999999999999</v>
      </c>
      <c r="U131" s="3">
        <v>143.30000000000001</v>
      </c>
      <c r="V131" s="3">
        <v>420.8</v>
      </c>
      <c r="W131">
        <v>152.19999999999999</v>
      </c>
      <c r="X131" s="3">
        <v>152.19999999999999</v>
      </c>
      <c r="Y131" s="3">
        <v>126.6</v>
      </c>
      <c r="Z131" s="3">
        <v>138.30000000000001</v>
      </c>
      <c r="AA131" s="3">
        <v>141.9</v>
      </c>
      <c r="AB131" s="3">
        <v>121.2</v>
      </c>
      <c r="AC131" s="3">
        <v>135.9</v>
      </c>
      <c r="AD131" s="3">
        <v>151.6</v>
      </c>
      <c r="AE131" s="3">
        <v>139</v>
      </c>
      <c r="AF131" s="3">
        <v>135.69999999999999</v>
      </c>
      <c r="AG131" s="3">
        <v>670.09999999999991</v>
      </c>
      <c r="AH131" s="3">
        <v>144.69999999999999</v>
      </c>
      <c r="AI131" s="10" t="str">
        <f t="shared" si="2"/>
        <v>2019 September</v>
      </c>
    </row>
    <row r="132" spans="1:35">
      <c r="A132" t="s">
        <v>34</v>
      </c>
      <c r="B132">
        <v>2019</v>
      </c>
      <c r="C132" t="s">
        <v>39</v>
      </c>
      <c r="D132" s="3">
        <v>138.69999999999999</v>
      </c>
      <c r="E132" s="3">
        <v>162.1</v>
      </c>
      <c r="F132" s="3">
        <v>137.80000000000001</v>
      </c>
      <c r="G132" s="3">
        <v>143.30000000000001</v>
      </c>
      <c r="H132" s="3">
        <v>122.2</v>
      </c>
      <c r="I132" s="3">
        <v>146.80000000000001</v>
      </c>
      <c r="J132" s="3">
        <v>150.5</v>
      </c>
      <c r="K132" s="3">
        <v>128.30000000000001</v>
      </c>
      <c r="L132" s="3">
        <v>111</v>
      </c>
      <c r="M132" s="3">
        <v>140.6</v>
      </c>
      <c r="N132" s="3">
        <v>134.19999999999999</v>
      </c>
      <c r="O132" s="3">
        <v>155.9</v>
      </c>
      <c r="P132" s="3">
        <v>142.69999999999999</v>
      </c>
      <c r="Q132" s="3">
        <v>1814.1000000000001</v>
      </c>
      <c r="R132" s="3">
        <v>164.9</v>
      </c>
      <c r="S132" s="3">
        <v>148.6</v>
      </c>
      <c r="T132" s="3">
        <v>140.4</v>
      </c>
      <c r="U132" s="3">
        <v>147.4</v>
      </c>
      <c r="V132" s="3">
        <v>436.4</v>
      </c>
      <c r="W132">
        <v>149.4</v>
      </c>
      <c r="X132" s="3">
        <v>149.4</v>
      </c>
      <c r="Y132" s="3">
        <v>141.19999999999999</v>
      </c>
      <c r="Z132" s="3">
        <v>143.80000000000001</v>
      </c>
      <c r="AA132" s="3">
        <v>147.4</v>
      </c>
      <c r="AB132" s="3">
        <v>124.6</v>
      </c>
      <c r="AC132" s="3">
        <v>139.6</v>
      </c>
      <c r="AD132" s="3">
        <v>152.5</v>
      </c>
      <c r="AE132" s="3">
        <v>134.30000000000001</v>
      </c>
      <c r="AF132" s="3">
        <v>138.6</v>
      </c>
      <c r="AG132" s="3">
        <v>680.9</v>
      </c>
      <c r="AH132" s="3">
        <v>142.9</v>
      </c>
      <c r="AI132" s="10" t="str">
        <f t="shared" si="2"/>
        <v>2019 June</v>
      </c>
    </row>
    <row r="133" spans="1:35">
      <c r="A133" t="s">
        <v>30</v>
      </c>
      <c r="B133">
        <v>2019</v>
      </c>
      <c r="C133" t="s">
        <v>43</v>
      </c>
      <c r="D133" s="3">
        <v>141</v>
      </c>
      <c r="E133" s="3">
        <v>161.6</v>
      </c>
      <c r="F133" s="3">
        <v>141.19999999999999</v>
      </c>
      <c r="G133" s="3">
        <v>146.5</v>
      </c>
      <c r="H133" s="3">
        <v>125.6</v>
      </c>
      <c r="I133" s="3">
        <v>145.69999999999999</v>
      </c>
      <c r="J133" s="3">
        <v>178.8</v>
      </c>
      <c r="K133" s="3">
        <v>133.1</v>
      </c>
      <c r="L133" s="3">
        <v>113.6</v>
      </c>
      <c r="M133" s="3">
        <v>145.5</v>
      </c>
      <c r="N133" s="3">
        <v>138.6</v>
      </c>
      <c r="O133" s="3">
        <v>157.4</v>
      </c>
      <c r="P133" s="3">
        <v>148.30000000000001</v>
      </c>
      <c r="Q133" s="3">
        <v>1876.8999999999996</v>
      </c>
      <c r="R133" s="3">
        <v>166.3</v>
      </c>
      <c r="S133" s="3">
        <v>151.69999999999999</v>
      </c>
      <c r="T133" s="3">
        <v>146.69999999999999</v>
      </c>
      <c r="U133" s="3">
        <v>151</v>
      </c>
      <c r="V133" s="3">
        <v>449.4</v>
      </c>
      <c r="W133" t="s">
        <v>32</v>
      </c>
      <c r="X133" s="3">
        <v>150.69999999999999</v>
      </c>
      <c r="Y133" s="3">
        <v>147.69999999999999</v>
      </c>
      <c r="Z133" s="3">
        <v>150.6</v>
      </c>
      <c r="AA133" s="3">
        <v>153.69999999999999</v>
      </c>
      <c r="AB133" s="3">
        <v>131.69999999999999</v>
      </c>
      <c r="AC133" s="3">
        <v>148.69999999999999</v>
      </c>
      <c r="AD133" s="3">
        <v>160.69999999999999</v>
      </c>
      <c r="AE133" s="3">
        <v>140.30000000000001</v>
      </c>
      <c r="AF133" s="3">
        <v>145.69999999999999</v>
      </c>
      <c r="AG133" s="3">
        <v>717</v>
      </c>
      <c r="AH133" s="3">
        <v>148.30000000000001</v>
      </c>
      <c r="AI133" s="10" t="str">
        <f t="shared" si="2"/>
        <v>2019 October</v>
      </c>
    </row>
    <row r="134" spans="1:35">
      <c r="A134" t="s">
        <v>33</v>
      </c>
      <c r="B134">
        <v>2019</v>
      </c>
      <c r="C134" t="s">
        <v>43</v>
      </c>
      <c r="D134" s="3">
        <v>143.5</v>
      </c>
      <c r="E134" s="3">
        <v>159.80000000000001</v>
      </c>
      <c r="F134" s="3">
        <v>144.69999999999999</v>
      </c>
      <c r="G134" s="3">
        <v>145.6</v>
      </c>
      <c r="H134" s="3">
        <v>121.1</v>
      </c>
      <c r="I134" s="3">
        <v>150.6</v>
      </c>
      <c r="J134" s="3">
        <v>207.2</v>
      </c>
      <c r="K134" s="3">
        <v>131.19999999999999</v>
      </c>
      <c r="L134" s="3">
        <v>114.8</v>
      </c>
      <c r="M134" s="3">
        <v>145.19999999999999</v>
      </c>
      <c r="N134" s="3">
        <v>130.19999999999999</v>
      </c>
      <c r="O134" s="3">
        <v>156.80000000000001</v>
      </c>
      <c r="P134" s="3">
        <v>151.9</v>
      </c>
      <c r="Q134" s="3">
        <v>1902.6000000000001</v>
      </c>
      <c r="R134" s="3">
        <v>169.3</v>
      </c>
      <c r="S134" s="3">
        <v>145.9</v>
      </c>
      <c r="T134" s="3">
        <v>132.4</v>
      </c>
      <c r="U134" s="3">
        <v>143.9</v>
      </c>
      <c r="V134" s="3">
        <v>422.20000000000005</v>
      </c>
      <c r="W134">
        <v>153</v>
      </c>
      <c r="X134" s="3">
        <v>153</v>
      </c>
      <c r="Y134" s="3">
        <v>128.9</v>
      </c>
      <c r="Z134" s="3">
        <v>138.69999999999999</v>
      </c>
      <c r="AA134" s="3">
        <v>142.4</v>
      </c>
      <c r="AB134" s="3">
        <v>121.5</v>
      </c>
      <c r="AC134" s="3">
        <v>136.19999999999999</v>
      </c>
      <c r="AD134" s="3">
        <v>151.69999999999999</v>
      </c>
      <c r="AE134" s="3">
        <v>139.5</v>
      </c>
      <c r="AF134" s="3">
        <v>136</v>
      </c>
      <c r="AG134" s="3">
        <v>671.9</v>
      </c>
      <c r="AH134" s="3">
        <v>146</v>
      </c>
      <c r="AI134" s="10" t="str">
        <f t="shared" si="2"/>
        <v>2019 October</v>
      </c>
    </row>
    <row r="135" spans="1:35">
      <c r="A135" t="s">
        <v>34</v>
      </c>
      <c r="B135">
        <v>2019</v>
      </c>
      <c r="C135" t="s">
        <v>40</v>
      </c>
      <c r="D135" s="3">
        <v>139.30000000000001</v>
      </c>
      <c r="E135" s="3">
        <v>162.69999999999999</v>
      </c>
      <c r="F135" s="3">
        <v>140</v>
      </c>
      <c r="G135" s="3">
        <v>144</v>
      </c>
      <c r="H135" s="3">
        <v>122.5</v>
      </c>
      <c r="I135" s="3">
        <v>150.30000000000001</v>
      </c>
      <c r="J135" s="3">
        <v>160.30000000000001</v>
      </c>
      <c r="K135" s="3">
        <v>130</v>
      </c>
      <c r="L135" s="3">
        <v>111.1</v>
      </c>
      <c r="M135" s="3">
        <v>141.69999999999999</v>
      </c>
      <c r="N135" s="3">
        <v>134.69999999999999</v>
      </c>
      <c r="O135" s="3">
        <v>156.19999999999999</v>
      </c>
      <c r="P135" s="3">
        <v>144.69999999999999</v>
      </c>
      <c r="Q135" s="3">
        <v>1837.5</v>
      </c>
      <c r="R135" s="3">
        <v>165.2</v>
      </c>
      <c r="S135" s="3">
        <v>148.9</v>
      </c>
      <c r="T135" s="3">
        <v>140.5</v>
      </c>
      <c r="U135" s="3">
        <v>147.6</v>
      </c>
      <c r="V135" s="3">
        <v>437</v>
      </c>
      <c r="W135">
        <v>150.6</v>
      </c>
      <c r="X135" s="3">
        <v>150.6</v>
      </c>
      <c r="Y135" s="3">
        <v>139.30000000000001</v>
      </c>
      <c r="Z135" s="3">
        <v>144.19999999999999</v>
      </c>
      <c r="AA135" s="3">
        <v>147.9</v>
      </c>
      <c r="AB135" s="3">
        <v>125.6</v>
      </c>
      <c r="AC135" s="3">
        <v>140.5</v>
      </c>
      <c r="AD135" s="3">
        <v>154</v>
      </c>
      <c r="AE135" s="3">
        <v>135.69999999999999</v>
      </c>
      <c r="AF135" s="3">
        <v>139.5</v>
      </c>
      <c r="AG135" s="3">
        <v>685.5</v>
      </c>
      <c r="AH135" s="3">
        <v>144.19999999999999</v>
      </c>
      <c r="AI135" s="10" t="str">
        <f t="shared" si="2"/>
        <v>2019 July</v>
      </c>
    </row>
    <row r="136" spans="1:35">
      <c r="A136" t="s">
        <v>30</v>
      </c>
      <c r="B136">
        <v>2019</v>
      </c>
      <c r="C136" t="s">
        <v>45</v>
      </c>
      <c r="D136" s="3">
        <v>141.80000000000001</v>
      </c>
      <c r="E136" s="3">
        <v>163.69999999999999</v>
      </c>
      <c r="F136" s="3">
        <v>143.80000000000001</v>
      </c>
      <c r="G136" s="3">
        <v>147.1</v>
      </c>
      <c r="H136" s="3">
        <v>126</v>
      </c>
      <c r="I136" s="3">
        <v>146.19999999999999</v>
      </c>
      <c r="J136" s="3">
        <v>191.4</v>
      </c>
      <c r="K136" s="3">
        <v>136.19999999999999</v>
      </c>
      <c r="L136" s="3">
        <v>113.8</v>
      </c>
      <c r="M136" s="3">
        <v>147.30000000000001</v>
      </c>
      <c r="N136" s="3">
        <v>138.69999999999999</v>
      </c>
      <c r="O136" s="3">
        <v>157.69999999999999</v>
      </c>
      <c r="P136" s="3">
        <v>150.9</v>
      </c>
      <c r="Q136" s="3">
        <v>1904.6000000000001</v>
      </c>
      <c r="R136" s="3">
        <v>167.2</v>
      </c>
      <c r="S136" s="3">
        <v>152.30000000000001</v>
      </c>
      <c r="T136" s="3">
        <v>147</v>
      </c>
      <c r="U136" s="3">
        <v>151.5</v>
      </c>
      <c r="V136" s="3">
        <v>450.8</v>
      </c>
      <c r="W136" t="s">
        <v>32</v>
      </c>
      <c r="X136" s="3">
        <v>150.69999999999999</v>
      </c>
      <c r="Y136" s="3">
        <v>148.4</v>
      </c>
      <c r="Z136" s="3">
        <v>150.9</v>
      </c>
      <c r="AA136" s="3">
        <v>154.30000000000001</v>
      </c>
      <c r="AB136" s="3">
        <v>132.1</v>
      </c>
      <c r="AC136" s="3">
        <v>149.1</v>
      </c>
      <c r="AD136" s="3">
        <v>160.80000000000001</v>
      </c>
      <c r="AE136" s="3">
        <v>140.6</v>
      </c>
      <c r="AF136" s="3">
        <v>146.1</v>
      </c>
      <c r="AG136" s="3">
        <v>718.80000000000007</v>
      </c>
      <c r="AH136" s="3">
        <v>149.9</v>
      </c>
      <c r="AI136" s="10" t="str">
        <f t="shared" si="2"/>
        <v>2019 November</v>
      </c>
    </row>
    <row r="137" spans="1:35">
      <c r="A137" t="s">
        <v>33</v>
      </c>
      <c r="B137">
        <v>2019</v>
      </c>
      <c r="C137" t="s">
        <v>45</v>
      </c>
      <c r="D137" s="3">
        <v>144.1</v>
      </c>
      <c r="E137" s="3">
        <v>162.4</v>
      </c>
      <c r="F137" s="3">
        <v>148.4</v>
      </c>
      <c r="G137" s="3">
        <v>145.9</v>
      </c>
      <c r="H137" s="3">
        <v>121.5</v>
      </c>
      <c r="I137" s="3">
        <v>148.80000000000001</v>
      </c>
      <c r="J137" s="3">
        <v>215.7</v>
      </c>
      <c r="K137" s="3">
        <v>134.6</v>
      </c>
      <c r="L137" s="3">
        <v>115</v>
      </c>
      <c r="M137" s="3">
        <v>146.30000000000001</v>
      </c>
      <c r="N137" s="3">
        <v>130.5</v>
      </c>
      <c r="O137" s="3">
        <v>157.19999999999999</v>
      </c>
      <c r="P137" s="3">
        <v>153.6</v>
      </c>
      <c r="Q137" s="3">
        <v>1923.9999999999998</v>
      </c>
      <c r="R137" s="3">
        <v>169.9</v>
      </c>
      <c r="S137" s="3">
        <v>146.30000000000001</v>
      </c>
      <c r="T137" s="3">
        <v>132.6</v>
      </c>
      <c r="U137" s="3">
        <v>144.19999999999999</v>
      </c>
      <c r="V137" s="3">
        <v>423.09999999999997</v>
      </c>
      <c r="W137">
        <v>153.5</v>
      </c>
      <c r="X137" s="3">
        <v>153.5</v>
      </c>
      <c r="Y137" s="3">
        <v>132.19999999999999</v>
      </c>
      <c r="Z137" s="3">
        <v>139.1</v>
      </c>
      <c r="AA137" s="3">
        <v>142.80000000000001</v>
      </c>
      <c r="AB137" s="3">
        <v>121.7</v>
      </c>
      <c r="AC137" s="3">
        <v>136.69999999999999</v>
      </c>
      <c r="AD137" s="3">
        <v>151.80000000000001</v>
      </c>
      <c r="AE137" s="3">
        <v>139.80000000000001</v>
      </c>
      <c r="AF137" s="3">
        <v>136.30000000000001</v>
      </c>
      <c r="AG137" s="3">
        <v>673.59999999999991</v>
      </c>
      <c r="AH137" s="3">
        <v>147</v>
      </c>
      <c r="AI137" s="10" t="str">
        <f t="shared" si="2"/>
        <v>2019 November</v>
      </c>
    </row>
    <row r="138" spans="1:35">
      <c r="A138" t="s">
        <v>34</v>
      </c>
      <c r="B138">
        <v>2019</v>
      </c>
      <c r="C138" t="s">
        <v>31</v>
      </c>
      <c r="D138" s="3">
        <v>137.1</v>
      </c>
      <c r="E138" s="3">
        <v>151.4</v>
      </c>
      <c r="F138" s="3">
        <v>140.19999999999999</v>
      </c>
      <c r="G138" s="3">
        <v>142.1</v>
      </c>
      <c r="H138" s="3">
        <v>121.8</v>
      </c>
      <c r="I138" s="3">
        <v>135.4</v>
      </c>
      <c r="J138" s="3">
        <v>131.30000000000001</v>
      </c>
      <c r="K138" s="3">
        <v>120.3</v>
      </c>
      <c r="L138" s="3">
        <v>109.1</v>
      </c>
      <c r="M138" s="3">
        <v>139.4</v>
      </c>
      <c r="N138" s="3">
        <v>133.30000000000001</v>
      </c>
      <c r="O138" s="3">
        <v>154.6</v>
      </c>
      <c r="P138" s="3">
        <v>137.4</v>
      </c>
      <c r="Q138" s="3">
        <v>1753.3999999999999</v>
      </c>
      <c r="R138" s="3">
        <v>163.19999999999999</v>
      </c>
      <c r="S138" s="3">
        <v>147.6</v>
      </c>
      <c r="T138" s="3">
        <v>139</v>
      </c>
      <c r="U138" s="3">
        <v>146.4</v>
      </c>
      <c r="V138" s="3">
        <v>433</v>
      </c>
      <c r="W138">
        <v>147.69999999999999</v>
      </c>
      <c r="X138" s="3">
        <v>147.69999999999999</v>
      </c>
      <c r="Y138" s="3">
        <v>139.5</v>
      </c>
      <c r="Z138" s="3">
        <v>143.6</v>
      </c>
      <c r="AA138" s="3">
        <v>145.1</v>
      </c>
      <c r="AB138" s="3">
        <v>123.3</v>
      </c>
      <c r="AC138" s="3">
        <v>136.69999999999999</v>
      </c>
      <c r="AD138" s="3">
        <v>150.19999999999999</v>
      </c>
      <c r="AE138" s="3">
        <v>132.80000000000001</v>
      </c>
      <c r="AF138" s="3">
        <v>136.9</v>
      </c>
      <c r="AG138" s="3">
        <v>673.3</v>
      </c>
      <c r="AH138" s="3">
        <v>139.6</v>
      </c>
      <c r="AI138" s="10" t="str">
        <f t="shared" si="2"/>
        <v>2019 January</v>
      </c>
    </row>
    <row r="139" spans="1:35">
      <c r="A139" t="s">
        <v>30</v>
      </c>
      <c r="B139">
        <v>2019</v>
      </c>
      <c r="C139" t="s">
        <v>38</v>
      </c>
      <c r="D139" s="3">
        <v>137.4</v>
      </c>
      <c r="E139" s="3">
        <v>159.5</v>
      </c>
      <c r="F139" s="3">
        <v>134.5</v>
      </c>
      <c r="G139" s="3">
        <v>142.6</v>
      </c>
      <c r="H139" s="3">
        <v>124</v>
      </c>
      <c r="I139" s="3">
        <v>143.69999999999999</v>
      </c>
      <c r="J139" s="3">
        <v>133.4</v>
      </c>
      <c r="K139" s="3">
        <v>125.1</v>
      </c>
      <c r="L139" s="3">
        <v>109.3</v>
      </c>
      <c r="M139" s="3">
        <v>139.30000000000001</v>
      </c>
      <c r="N139" s="3">
        <v>137.69999999999999</v>
      </c>
      <c r="O139" s="3">
        <v>156.4</v>
      </c>
      <c r="P139" s="3">
        <v>139.19999999999999</v>
      </c>
      <c r="Q139" s="3">
        <v>1782.1000000000001</v>
      </c>
      <c r="R139" s="3">
        <v>163.30000000000001</v>
      </c>
      <c r="S139" s="3">
        <v>151.30000000000001</v>
      </c>
      <c r="T139" s="3">
        <v>146.6</v>
      </c>
      <c r="U139" s="3">
        <v>150.69999999999999</v>
      </c>
      <c r="V139" s="3">
        <v>448.59999999999997</v>
      </c>
      <c r="W139" t="s">
        <v>32</v>
      </c>
      <c r="X139" s="3">
        <v>150.69999999999999</v>
      </c>
      <c r="Y139" s="3">
        <v>146.9</v>
      </c>
      <c r="Z139" s="3">
        <v>149.5</v>
      </c>
      <c r="AA139" s="3">
        <v>151.30000000000001</v>
      </c>
      <c r="AB139" s="3">
        <v>130.19999999999999</v>
      </c>
      <c r="AC139" s="3">
        <v>145.9</v>
      </c>
      <c r="AD139" s="3">
        <v>156.69999999999999</v>
      </c>
      <c r="AE139" s="3">
        <v>133.9</v>
      </c>
      <c r="AF139" s="3">
        <v>142.9</v>
      </c>
      <c r="AG139" s="3">
        <v>702.4</v>
      </c>
      <c r="AH139" s="3">
        <v>142.4</v>
      </c>
      <c r="AI139" s="10" t="str">
        <f t="shared" si="2"/>
        <v>2019 May</v>
      </c>
    </row>
    <row r="140" spans="1:35">
      <c r="A140" t="s">
        <v>33</v>
      </c>
      <c r="B140">
        <v>2019</v>
      </c>
      <c r="C140" t="s">
        <v>38</v>
      </c>
      <c r="D140" s="3">
        <v>140.4</v>
      </c>
      <c r="E140" s="3">
        <v>156.69999999999999</v>
      </c>
      <c r="F140" s="3">
        <v>138.30000000000001</v>
      </c>
      <c r="G140" s="3">
        <v>142.4</v>
      </c>
      <c r="H140" s="3">
        <v>118.6</v>
      </c>
      <c r="I140" s="3">
        <v>149.69999999999999</v>
      </c>
      <c r="J140" s="3">
        <v>161.6</v>
      </c>
      <c r="K140" s="3">
        <v>124.4</v>
      </c>
      <c r="L140" s="3">
        <v>111.2</v>
      </c>
      <c r="M140" s="3">
        <v>141</v>
      </c>
      <c r="N140" s="3">
        <v>128.9</v>
      </c>
      <c r="O140" s="3">
        <v>154.5</v>
      </c>
      <c r="P140" s="3">
        <v>143.80000000000001</v>
      </c>
      <c r="Q140" s="3">
        <v>1811.5000000000002</v>
      </c>
      <c r="R140" s="3">
        <v>166.2</v>
      </c>
      <c r="S140" s="3">
        <v>144</v>
      </c>
      <c r="T140" s="3">
        <v>131.69999999999999</v>
      </c>
      <c r="U140" s="3">
        <v>142.19999999999999</v>
      </c>
      <c r="V140" s="3">
        <v>417.9</v>
      </c>
      <c r="W140">
        <v>150.1</v>
      </c>
      <c r="X140" s="3">
        <v>150.1</v>
      </c>
      <c r="Y140" s="3">
        <v>129.4</v>
      </c>
      <c r="Z140" s="3">
        <v>137.19999999999999</v>
      </c>
      <c r="AA140" s="3">
        <v>139.80000000000001</v>
      </c>
      <c r="AB140" s="3">
        <v>120.1</v>
      </c>
      <c r="AC140" s="3">
        <v>134</v>
      </c>
      <c r="AD140" s="3">
        <v>148</v>
      </c>
      <c r="AE140" s="3">
        <v>132.6</v>
      </c>
      <c r="AF140" s="3">
        <v>133.30000000000001</v>
      </c>
      <c r="AG140" s="3">
        <v>657.2</v>
      </c>
      <c r="AH140" s="3">
        <v>141.5</v>
      </c>
      <c r="AI140" s="10" t="str">
        <f t="shared" si="2"/>
        <v>2019 May</v>
      </c>
    </row>
    <row r="141" spans="1:35">
      <c r="A141" t="s">
        <v>34</v>
      </c>
      <c r="B141">
        <v>2019</v>
      </c>
      <c r="C141" t="s">
        <v>35</v>
      </c>
      <c r="D141" s="3">
        <v>137.6</v>
      </c>
      <c r="E141" s="3">
        <v>152</v>
      </c>
      <c r="F141" s="3">
        <v>141.5</v>
      </c>
      <c r="G141" s="3">
        <v>142.19999999999999</v>
      </c>
      <c r="H141" s="3">
        <v>122</v>
      </c>
      <c r="I141" s="3">
        <v>136.4</v>
      </c>
      <c r="J141" s="3">
        <v>129.69999999999999</v>
      </c>
      <c r="K141" s="3">
        <v>121</v>
      </c>
      <c r="L141" s="3">
        <v>109</v>
      </c>
      <c r="M141" s="3">
        <v>139.69999999999999</v>
      </c>
      <c r="N141" s="3">
        <v>133.6</v>
      </c>
      <c r="O141" s="3">
        <v>154.9</v>
      </c>
      <c r="P141" s="3">
        <v>137.5</v>
      </c>
      <c r="Q141" s="3">
        <v>1757.1</v>
      </c>
      <c r="R141" s="3">
        <v>163.4</v>
      </c>
      <c r="S141" s="3">
        <v>147.69999999999999</v>
      </c>
      <c r="T141" s="3">
        <v>139.69999999999999</v>
      </c>
      <c r="U141" s="3">
        <v>146.5</v>
      </c>
      <c r="V141" s="3">
        <v>433.9</v>
      </c>
      <c r="W141">
        <v>148.5</v>
      </c>
      <c r="X141" s="3">
        <v>148.5</v>
      </c>
      <c r="Y141" s="3">
        <v>138.4</v>
      </c>
      <c r="Z141" s="3">
        <v>143.69999999999999</v>
      </c>
      <c r="AA141" s="3">
        <v>145.6</v>
      </c>
      <c r="AB141" s="3">
        <v>123.9</v>
      </c>
      <c r="AC141" s="3">
        <v>137.1</v>
      </c>
      <c r="AD141" s="3">
        <v>150.30000000000001</v>
      </c>
      <c r="AE141" s="3">
        <v>134.1</v>
      </c>
      <c r="AF141" s="3">
        <v>137.4</v>
      </c>
      <c r="AG141" s="3">
        <v>676.2</v>
      </c>
      <c r="AH141" s="3">
        <v>139.9</v>
      </c>
      <c r="AI141" s="10" t="str">
        <f t="shared" si="2"/>
        <v>2019 February</v>
      </c>
    </row>
    <row r="142" spans="1:35">
      <c r="A142" t="s">
        <v>30</v>
      </c>
      <c r="B142">
        <v>2019</v>
      </c>
      <c r="C142" t="s">
        <v>36</v>
      </c>
      <c r="D142" s="3">
        <v>136.9</v>
      </c>
      <c r="E142" s="3">
        <v>154.1</v>
      </c>
      <c r="F142" s="3">
        <v>138.69999999999999</v>
      </c>
      <c r="G142" s="3">
        <v>142.5</v>
      </c>
      <c r="H142" s="3">
        <v>124.1</v>
      </c>
      <c r="I142" s="3">
        <v>136.1</v>
      </c>
      <c r="J142" s="3">
        <v>128.19999999999999</v>
      </c>
      <c r="K142" s="3">
        <v>122.3</v>
      </c>
      <c r="L142" s="3">
        <v>108.3</v>
      </c>
      <c r="M142" s="3">
        <v>138.9</v>
      </c>
      <c r="N142" s="3">
        <v>137.4</v>
      </c>
      <c r="O142" s="3">
        <v>156.4</v>
      </c>
      <c r="P142" s="3">
        <v>137.30000000000001</v>
      </c>
      <c r="Q142" s="3">
        <v>1761.2000000000003</v>
      </c>
      <c r="R142" s="3">
        <v>162.9</v>
      </c>
      <c r="S142" s="3">
        <v>150.80000000000001</v>
      </c>
      <c r="T142" s="3">
        <v>146.1</v>
      </c>
      <c r="U142" s="3">
        <v>150.1</v>
      </c>
      <c r="V142" s="3">
        <v>447</v>
      </c>
      <c r="W142" t="s">
        <v>32</v>
      </c>
      <c r="X142" s="3">
        <v>150.69999999999999</v>
      </c>
      <c r="Y142" s="3">
        <v>146.4</v>
      </c>
      <c r="Z142" s="3">
        <v>150</v>
      </c>
      <c r="AA142" s="3">
        <v>150.4</v>
      </c>
      <c r="AB142" s="3">
        <v>129.9</v>
      </c>
      <c r="AC142" s="3">
        <v>143.80000000000001</v>
      </c>
      <c r="AD142" s="3">
        <v>155.5</v>
      </c>
      <c r="AE142" s="3">
        <v>134</v>
      </c>
      <c r="AF142" s="3">
        <v>142.4</v>
      </c>
      <c r="AG142" s="3">
        <v>700.1</v>
      </c>
      <c r="AH142" s="3">
        <v>141.19999999999999</v>
      </c>
      <c r="AI142" s="10" t="str">
        <f t="shared" si="2"/>
        <v>2019 March</v>
      </c>
    </row>
    <row r="143" spans="1:35">
      <c r="A143" t="s">
        <v>33</v>
      </c>
      <c r="B143">
        <v>2019</v>
      </c>
      <c r="C143" t="s">
        <v>36</v>
      </c>
      <c r="D143" s="3">
        <v>139.69999999999999</v>
      </c>
      <c r="E143" s="3">
        <v>151.1</v>
      </c>
      <c r="F143" s="3">
        <v>142.9</v>
      </c>
      <c r="G143" s="3">
        <v>141.9</v>
      </c>
      <c r="H143" s="3">
        <v>118.4</v>
      </c>
      <c r="I143" s="3">
        <v>139.4</v>
      </c>
      <c r="J143" s="3">
        <v>141.19999999999999</v>
      </c>
      <c r="K143" s="3">
        <v>120.7</v>
      </c>
      <c r="L143" s="3">
        <v>110.4</v>
      </c>
      <c r="M143" s="3">
        <v>140.69999999999999</v>
      </c>
      <c r="N143" s="3">
        <v>128.5</v>
      </c>
      <c r="O143" s="3">
        <v>153.9</v>
      </c>
      <c r="P143" s="3">
        <v>139.6</v>
      </c>
      <c r="Q143" s="3">
        <v>1768.4</v>
      </c>
      <c r="R143" s="3">
        <v>165.3</v>
      </c>
      <c r="S143" s="3">
        <v>143.5</v>
      </c>
      <c r="T143" s="3">
        <v>131.19999999999999</v>
      </c>
      <c r="U143" s="3">
        <v>141.6</v>
      </c>
      <c r="V143" s="3">
        <v>416.29999999999995</v>
      </c>
      <c r="W143">
        <v>149</v>
      </c>
      <c r="X143" s="3">
        <v>149</v>
      </c>
      <c r="Y143" s="3">
        <v>128.80000000000001</v>
      </c>
      <c r="Z143" s="3">
        <v>136.80000000000001</v>
      </c>
      <c r="AA143" s="3">
        <v>139.19999999999999</v>
      </c>
      <c r="AB143" s="3">
        <v>119.9</v>
      </c>
      <c r="AC143" s="3">
        <v>133</v>
      </c>
      <c r="AD143" s="3">
        <v>146.69999999999999</v>
      </c>
      <c r="AE143" s="3">
        <v>132.5</v>
      </c>
      <c r="AF143" s="3">
        <v>132.80000000000001</v>
      </c>
      <c r="AG143" s="3">
        <v>655</v>
      </c>
      <c r="AH143" s="3">
        <v>139.5</v>
      </c>
      <c r="AI143" s="10" t="str">
        <f t="shared" si="2"/>
        <v>2019 March</v>
      </c>
    </row>
    <row r="144" spans="1:35">
      <c r="A144" t="s">
        <v>34</v>
      </c>
      <c r="B144">
        <v>2019</v>
      </c>
      <c r="C144" t="s">
        <v>46</v>
      </c>
      <c r="D144" s="3">
        <v>143.5</v>
      </c>
      <c r="E144" s="3">
        <v>165</v>
      </c>
      <c r="F144" s="3">
        <v>151.1</v>
      </c>
      <c r="G144" s="3">
        <v>148.30000000000001</v>
      </c>
      <c r="H144" s="3">
        <v>125.7</v>
      </c>
      <c r="I144" s="3">
        <v>145.69999999999999</v>
      </c>
      <c r="J144" s="3">
        <v>217</v>
      </c>
      <c r="K144" s="3">
        <v>138.30000000000001</v>
      </c>
      <c r="L144" s="3">
        <v>114</v>
      </c>
      <c r="M144" s="3">
        <v>148.69999999999999</v>
      </c>
      <c r="N144" s="3">
        <v>135.80000000000001</v>
      </c>
      <c r="O144" s="3">
        <v>158</v>
      </c>
      <c r="P144" s="3">
        <v>155</v>
      </c>
      <c r="Q144" s="3">
        <v>1946.1000000000001</v>
      </c>
      <c r="R144" s="3">
        <v>168.5</v>
      </c>
      <c r="S144" s="3">
        <v>150.30000000000001</v>
      </c>
      <c r="T144" s="3">
        <v>141.30000000000001</v>
      </c>
      <c r="U144" s="3">
        <v>149</v>
      </c>
      <c r="V144" s="3">
        <v>440.6</v>
      </c>
      <c r="W144">
        <v>152.80000000000001</v>
      </c>
      <c r="X144" s="3">
        <v>152.80000000000001</v>
      </c>
      <c r="Y144" s="3">
        <v>143.69999999999999</v>
      </c>
      <c r="Z144" s="3">
        <v>145.80000000000001</v>
      </c>
      <c r="AA144" s="3">
        <v>150.4</v>
      </c>
      <c r="AB144" s="3">
        <v>129.80000000000001</v>
      </c>
      <c r="AC144" s="3">
        <v>142.30000000000001</v>
      </c>
      <c r="AD144" s="3">
        <v>155.69999999999999</v>
      </c>
      <c r="AE144" s="3">
        <v>140.4</v>
      </c>
      <c r="AF144" s="3">
        <v>142.5</v>
      </c>
      <c r="AG144" s="3">
        <v>700.80000000000007</v>
      </c>
      <c r="AH144" s="3">
        <v>150.4</v>
      </c>
      <c r="AI144" s="10" t="str">
        <f t="shared" si="2"/>
        <v>2019 December</v>
      </c>
    </row>
    <row r="145" spans="1:35">
      <c r="A145" t="s">
        <v>30</v>
      </c>
      <c r="B145">
        <v>2019</v>
      </c>
      <c r="C145" t="s">
        <v>39</v>
      </c>
      <c r="D145" s="3">
        <v>137.80000000000001</v>
      </c>
      <c r="E145" s="3">
        <v>163.5</v>
      </c>
      <c r="F145" s="3">
        <v>136.19999999999999</v>
      </c>
      <c r="G145" s="3">
        <v>143.19999999999999</v>
      </c>
      <c r="H145" s="3">
        <v>124.3</v>
      </c>
      <c r="I145" s="3">
        <v>143.30000000000001</v>
      </c>
      <c r="J145" s="3">
        <v>140.6</v>
      </c>
      <c r="K145" s="3">
        <v>128.69999999999999</v>
      </c>
      <c r="L145" s="3">
        <v>110.6</v>
      </c>
      <c r="M145" s="3">
        <v>140.4</v>
      </c>
      <c r="N145" s="3">
        <v>138</v>
      </c>
      <c r="O145" s="3">
        <v>156.6</v>
      </c>
      <c r="P145" s="3">
        <v>141</v>
      </c>
      <c r="Q145" s="3">
        <v>1804.1999999999998</v>
      </c>
      <c r="R145" s="3">
        <v>164.2</v>
      </c>
      <c r="S145" s="3">
        <v>151.4</v>
      </c>
      <c r="T145" s="3">
        <v>146.5</v>
      </c>
      <c r="U145" s="3">
        <v>150.69999999999999</v>
      </c>
      <c r="V145" s="3">
        <v>448.59999999999997</v>
      </c>
      <c r="W145" t="s">
        <v>32</v>
      </c>
      <c r="X145" s="3">
        <v>150.69999999999999</v>
      </c>
      <c r="Y145" s="3">
        <v>147.80000000000001</v>
      </c>
      <c r="Z145" s="3">
        <v>149.6</v>
      </c>
      <c r="AA145" s="3">
        <v>151.69999999999999</v>
      </c>
      <c r="AB145" s="3">
        <v>130.19999999999999</v>
      </c>
      <c r="AC145" s="3">
        <v>146.4</v>
      </c>
      <c r="AD145" s="3">
        <v>157.69999999999999</v>
      </c>
      <c r="AE145" s="3">
        <v>134.80000000000001</v>
      </c>
      <c r="AF145" s="3">
        <v>143.30000000000001</v>
      </c>
      <c r="AG145" s="3">
        <v>704.3</v>
      </c>
      <c r="AH145" s="3">
        <v>143.6</v>
      </c>
      <c r="AI145" s="10" t="str">
        <f t="shared" si="2"/>
        <v>2019 June</v>
      </c>
    </row>
    <row r="146" spans="1:35">
      <c r="A146" t="s">
        <v>33</v>
      </c>
      <c r="B146">
        <v>2019</v>
      </c>
      <c r="C146" t="s">
        <v>39</v>
      </c>
      <c r="D146" s="3">
        <v>140.69999999999999</v>
      </c>
      <c r="E146" s="3">
        <v>159.6</v>
      </c>
      <c r="F146" s="3">
        <v>140.4</v>
      </c>
      <c r="G146" s="3">
        <v>143.4</v>
      </c>
      <c r="H146" s="3">
        <v>118.6</v>
      </c>
      <c r="I146" s="3">
        <v>150.9</v>
      </c>
      <c r="J146" s="3">
        <v>169.8</v>
      </c>
      <c r="K146" s="3">
        <v>127.4</v>
      </c>
      <c r="L146" s="3">
        <v>111.8</v>
      </c>
      <c r="M146" s="3">
        <v>141</v>
      </c>
      <c r="N146" s="3">
        <v>129</v>
      </c>
      <c r="O146" s="3">
        <v>155.1</v>
      </c>
      <c r="P146" s="3">
        <v>145.6</v>
      </c>
      <c r="Q146" s="3">
        <v>1833.2999999999997</v>
      </c>
      <c r="R146" s="3">
        <v>166.7</v>
      </c>
      <c r="S146" s="3">
        <v>144.30000000000001</v>
      </c>
      <c r="T146" s="3">
        <v>131.69999999999999</v>
      </c>
      <c r="U146" s="3">
        <v>142.4</v>
      </c>
      <c r="V146" s="3">
        <v>418.4</v>
      </c>
      <c r="W146">
        <v>149.4</v>
      </c>
      <c r="X146" s="3">
        <v>149.4</v>
      </c>
      <c r="Y146" s="3">
        <v>130.5</v>
      </c>
      <c r="Z146" s="3">
        <v>137.4</v>
      </c>
      <c r="AA146" s="3">
        <v>140.30000000000001</v>
      </c>
      <c r="AB146" s="3">
        <v>119.6</v>
      </c>
      <c r="AC146" s="3">
        <v>134.30000000000001</v>
      </c>
      <c r="AD146" s="3">
        <v>148.9</v>
      </c>
      <c r="AE146" s="3">
        <v>133.69999999999999</v>
      </c>
      <c r="AF146" s="3">
        <v>133.6</v>
      </c>
      <c r="AG146" s="3">
        <v>658.6</v>
      </c>
      <c r="AH146" s="3">
        <v>142.1</v>
      </c>
      <c r="AI146" s="10" t="str">
        <f t="shared" si="2"/>
        <v>2019 June</v>
      </c>
    </row>
    <row r="147" spans="1:35">
      <c r="A147" t="s">
        <v>34</v>
      </c>
      <c r="B147">
        <v>2019</v>
      </c>
      <c r="C147" t="s">
        <v>41</v>
      </c>
      <c r="D147" s="3">
        <v>140.1</v>
      </c>
      <c r="E147" s="3">
        <v>160.6</v>
      </c>
      <c r="F147" s="3">
        <v>138.5</v>
      </c>
      <c r="G147" s="3">
        <v>144.69999999999999</v>
      </c>
      <c r="H147" s="3">
        <v>122.9</v>
      </c>
      <c r="I147" s="3">
        <v>149.4</v>
      </c>
      <c r="J147" s="3">
        <v>167.4</v>
      </c>
      <c r="K147" s="3">
        <v>130.9</v>
      </c>
      <c r="L147" s="3">
        <v>112</v>
      </c>
      <c r="M147" s="3">
        <v>142.6</v>
      </c>
      <c r="N147" s="3">
        <v>134.9</v>
      </c>
      <c r="O147" s="3">
        <v>156.6</v>
      </c>
      <c r="P147" s="3">
        <v>145.9</v>
      </c>
      <c r="Q147" s="3">
        <v>1846.5</v>
      </c>
      <c r="R147" s="3">
        <v>165.8</v>
      </c>
      <c r="S147" s="3">
        <v>149.1</v>
      </c>
      <c r="T147" s="3">
        <v>140.6</v>
      </c>
      <c r="U147" s="3">
        <v>147.9</v>
      </c>
      <c r="V147" s="3">
        <v>437.6</v>
      </c>
      <c r="W147">
        <v>151.6</v>
      </c>
      <c r="X147" s="3">
        <v>151.6</v>
      </c>
      <c r="Y147" s="3">
        <v>138.5</v>
      </c>
      <c r="Z147" s="3">
        <v>144.5</v>
      </c>
      <c r="AA147" s="3">
        <v>148.5</v>
      </c>
      <c r="AB147" s="3">
        <v>125.8</v>
      </c>
      <c r="AC147" s="3">
        <v>140.9</v>
      </c>
      <c r="AD147" s="3">
        <v>154.9</v>
      </c>
      <c r="AE147" s="3">
        <v>138.4</v>
      </c>
      <c r="AF147" s="3">
        <v>140.19999999999999</v>
      </c>
      <c r="AG147" s="3">
        <v>689.8</v>
      </c>
      <c r="AH147" s="3">
        <v>145</v>
      </c>
      <c r="AI147" s="10" t="str">
        <f t="shared" si="2"/>
        <v>2019 August</v>
      </c>
    </row>
    <row r="148" spans="1:35">
      <c r="A148" t="s">
        <v>30</v>
      </c>
      <c r="B148">
        <v>2019</v>
      </c>
      <c r="C148" t="s">
        <v>40</v>
      </c>
      <c r="D148" s="3">
        <v>138.4</v>
      </c>
      <c r="E148" s="3">
        <v>164</v>
      </c>
      <c r="F148" s="3">
        <v>138.4</v>
      </c>
      <c r="G148" s="3">
        <v>143.9</v>
      </c>
      <c r="H148" s="3">
        <v>124.4</v>
      </c>
      <c r="I148" s="3">
        <v>146.4</v>
      </c>
      <c r="J148" s="3">
        <v>150.1</v>
      </c>
      <c r="K148" s="3">
        <v>130.6</v>
      </c>
      <c r="L148" s="3">
        <v>110.8</v>
      </c>
      <c r="M148" s="3">
        <v>141.69999999999999</v>
      </c>
      <c r="N148" s="3">
        <v>138.5</v>
      </c>
      <c r="O148" s="3">
        <v>156.69999999999999</v>
      </c>
      <c r="P148" s="3">
        <v>143</v>
      </c>
      <c r="Q148" s="3">
        <v>1826.8999999999999</v>
      </c>
      <c r="R148" s="3">
        <v>164.5</v>
      </c>
      <c r="S148" s="3">
        <v>151.6</v>
      </c>
      <c r="T148" s="3">
        <v>146.6</v>
      </c>
      <c r="U148" s="3">
        <v>150.9</v>
      </c>
      <c r="V148" s="3">
        <v>449.1</v>
      </c>
      <c r="W148" t="s">
        <v>32</v>
      </c>
      <c r="X148" s="3">
        <v>150.69999999999999</v>
      </c>
      <c r="Y148" s="3">
        <v>146.80000000000001</v>
      </c>
      <c r="Z148" s="3">
        <v>150</v>
      </c>
      <c r="AA148" s="3">
        <v>152.19999999999999</v>
      </c>
      <c r="AB148" s="3">
        <v>131.19999999999999</v>
      </c>
      <c r="AC148" s="3">
        <v>147.5</v>
      </c>
      <c r="AD148" s="3">
        <v>159.1</v>
      </c>
      <c r="AE148" s="3">
        <v>136.1</v>
      </c>
      <c r="AF148" s="3">
        <v>144.19999999999999</v>
      </c>
      <c r="AG148" s="3">
        <v>709</v>
      </c>
      <c r="AH148" s="3">
        <v>144.9</v>
      </c>
      <c r="AI148" s="10" t="str">
        <f t="shared" si="2"/>
        <v>2019 July</v>
      </c>
    </row>
    <row r="149" spans="1:35">
      <c r="A149" t="s">
        <v>33</v>
      </c>
      <c r="B149">
        <v>2019</v>
      </c>
      <c r="C149" t="s">
        <v>40</v>
      </c>
      <c r="D149" s="3">
        <v>141.4</v>
      </c>
      <c r="E149" s="3">
        <v>160.19999999999999</v>
      </c>
      <c r="F149" s="3">
        <v>142.5</v>
      </c>
      <c r="G149" s="3">
        <v>144.1</v>
      </c>
      <c r="H149" s="3">
        <v>119.3</v>
      </c>
      <c r="I149" s="3">
        <v>154.69999999999999</v>
      </c>
      <c r="J149" s="3">
        <v>180.1</v>
      </c>
      <c r="K149" s="3">
        <v>128.9</v>
      </c>
      <c r="L149" s="3">
        <v>111.8</v>
      </c>
      <c r="M149" s="3">
        <v>141.6</v>
      </c>
      <c r="N149" s="3">
        <v>129.5</v>
      </c>
      <c r="O149" s="3">
        <v>155.6</v>
      </c>
      <c r="P149" s="3">
        <v>147.69999999999999</v>
      </c>
      <c r="Q149" s="3">
        <v>1857.3999999999999</v>
      </c>
      <c r="R149" s="3">
        <v>167.2</v>
      </c>
      <c r="S149" s="3">
        <v>144.69999999999999</v>
      </c>
      <c r="T149" s="3">
        <v>131.9</v>
      </c>
      <c r="U149" s="3">
        <v>142.69999999999999</v>
      </c>
      <c r="V149" s="3">
        <v>419.3</v>
      </c>
      <c r="W149">
        <v>150.6</v>
      </c>
      <c r="X149" s="3">
        <v>150.6</v>
      </c>
      <c r="Y149" s="3">
        <v>127</v>
      </c>
      <c r="Z149" s="3">
        <v>137.69999999999999</v>
      </c>
      <c r="AA149" s="3">
        <v>140.80000000000001</v>
      </c>
      <c r="AB149" s="3">
        <v>120.6</v>
      </c>
      <c r="AC149" s="3">
        <v>135</v>
      </c>
      <c r="AD149" s="3">
        <v>150.4</v>
      </c>
      <c r="AE149" s="3">
        <v>135.1</v>
      </c>
      <c r="AF149" s="3">
        <v>134.5</v>
      </c>
      <c r="AG149" s="3">
        <v>662.9</v>
      </c>
      <c r="AH149" s="3">
        <v>143.30000000000001</v>
      </c>
      <c r="AI149" s="10" t="str">
        <f t="shared" si="2"/>
        <v>2019 July</v>
      </c>
    </row>
    <row r="150" spans="1:35">
      <c r="A150" t="s">
        <v>30</v>
      </c>
      <c r="B150">
        <v>2019</v>
      </c>
      <c r="C150" t="s">
        <v>31</v>
      </c>
      <c r="D150" s="3">
        <v>136.6</v>
      </c>
      <c r="E150" s="3">
        <v>152.5</v>
      </c>
      <c r="F150" s="3">
        <v>138.19999999999999</v>
      </c>
      <c r="G150" s="3">
        <v>142.4</v>
      </c>
      <c r="H150" s="3">
        <v>123.9</v>
      </c>
      <c r="I150" s="3">
        <v>135.5</v>
      </c>
      <c r="J150" s="3">
        <v>131.69999999999999</v>
      </c>
      <c r="K150" s="3">
        <v>121.3</v>
      </c>
      <c r="L150" s="3">
        <v>108.4</v>
      </c>
      <c r="M150" s="3">
        <v>138.9</v>
      </c>
      <c r="N150" s="3">
        <v>137</v>
      </c>
      <c r="O150" s="3">
        <v>155.80000000000001</v>
      </c>
      <c r="P150" s="3">
        <v>137.4</v>
      </c>
      <c r="Q150" s="3">
        <v>1759.6000000000001</v>
      </c>
      <c r="R150" s="3">
        <v>162.69999999999999</v>
      </c>
      <c r="S150" s="3">
        <v>150.6</v>
      </c>
      <c r="T150" s="3">
        <v>145.1</v>
      </c>
      <c r="U150" s="3">
        <v>149.9</v>
      </c>
      <c r="V150" s="3">
        <v>445.6</v>
      </c>
      <c r="W150" t="s">
        <v>32</v>
      </c>
      <c r="X150" s="3">
        <v>150.69999999999999</v>
      </c>
      <c r="Y150" s="3">
        <v>146.19999999999999</v>
      </c>
      <c r="Z150" s="3">
        <v>150.1</v>
      </c>
      <c r="AA150" s="3">
        <v>149.6</v>
      </c>
      <c r="AB150" s="3">
        <v>128.6</v>
      </c>
      <c r="AC150" s="3">
        <v>142.9</v>
      </c>
      <c r="AD150" s="3">
        <v>155.19999999999999</v>
      </c>
      <c r="AE150" s="3">
        <v>133.5</v>
      </c>
      <c r="AF150" s="3">
        <v>141.69999999999999</v>
      </c>
      <c r="AG150" s="3">
        <v>696.8</v>
      </c>
      <c r="AH150" s="3">
        <v>141</v>
      </c>
      <c r="AI150" s="10" t="str">
        <f t="shared" si="2"/>
        <v>2019 January</v>
      </c>
    </row>
    <row r="151" spans="1:35">
      <c r="A151" t="s">
        <v>33</v>
      </c>
      <c r="B151">
        <v>2019</v>
      </c>
      <c r="C151" t="s">
        <v>31</v>
      </c>
      <c r="D151" s="3">
        <v>138.30000000000001</v>
      </c>
      <c r="E151" s="3">
        <v>149.4</v>
      </c>
      <c r="F151" s="3">
        <v>143.5</v>
      </c>
      <c r="G151" s="3">
        <v>141.69999999999999</v>
      </c>
      <c r="H151" s="3">
        <v>118.1</v>
      </c>
      <c r="I151" s="3">
        <v>135.19999999999999</v>
      </c>
      <c r="J151" s="3">
        <v>130.5</v>
      </c>
      <c r="K151" s="3">
        <v>118.2</v>
      </c>
      <c r="L151" s="3">
        <v>110.4</v>
      </c>
      <c r="M151" s="3">
        <v>140.4</v>
      </c>
      <c r="N151" s="3">
        <v>128.1</v>
      </c>
      <c r="O151" s="3">
        <v>153.19999999999999</v>
      </c>
      <c r="P151" s="3">
        <v>137.30000000000001</v>
      </c>
      <c r="Q151" s="3">
        <v>1744.3000000000002</v>
      </c>
      <c r="R151" s="3">
        <v>164.7</v>
      </c>
      <c r="S151" s="3">
        <v>143</v>
      </c>
      <c r="T151" s="3">
        <v>130.4</v>
      </c>
      <c r="U151" s="3">
        <v>141.1</v>
      </c>
      <c r="V151" s="3">
        <v>414.5</v>
      </c>
      <c r="W151">
        <v>147.69999999999999</v>
      </c>
      <c r="X151" s="3">
        <v>147.69999999999999</v>
      </c>
      <c r="Y151" s="3">
        <v>128.6</v>
      </c>
      <c r="Z151" s="3">
        <v>136.30000000000001</v>
      </c>
      <c r="AA151" s="3">
        <v>137.80000000000001</v>
      </c>
      <c r="AB151" s="3">
        <v>118.6</v>
      </c>
      <c r="AC151" s="3">
        <v>131.9</v>
      </c>
      <c r="AD151" s="3">
        <v>146.6</v>
      </c>
      <c r="AE151" s="3">
        <v>131.69999999999999</v>
      </c>
      <c r="AF151" s="3">
        <v>131.80000000000001</v>
      </c>
      <c r="AG151" s="3">
        <v>650.29999999999995</v>
      </c>
      <c r="AH151" s="3">
        <v>138</v>
      </c>
      <c r="AI151" s="10" t="str">
        <f t="shared" si="2"/>
        <v>2019 January</v>
      </c>
    </row>
    <row r="152" spans="1:35">
      <c r="A152" t="s">
        <v>30</v>
      </c>
      <c r="B152">
        <v>2019</v>
      </c>
      <c r="C152" t="s">
        <v>35</v>
      </c>
      <c r="D152" s="3">
        <v>136.80000000000001</v>
      </c>
      <c r="E152" s="3">
        <v>153</v>
      </c>
      <c r="F152" s="3">
        <v>139.1</v>
      </c>
      <c r="G152" s="3">
        <v>142.5</v>
      </c>
      <c r="H152" s="3">
        <v>124.1</v>
      </c>
      <c r="I152" s="3">
        <v>135.80000000000001</v>
      </c>
      <c r="J152" s="3">
        <v>128.69999999999999</v>
      </c>
      <c r="K152" s="3">
        <v>121.5</v>
      </c>
      <c r="L152" s="3">
        <v>108.3</v>
      </c>
      <c r="M152" s="3">
        <v>139.19999999999999</v>
      </c>
      <c r="N152" s="3">
        <v>137.4</v>
      </c>
      <c r="O152" s="3">
        <v>156.19999999999999</v>
      </c>
      <c r="P152" s="3">
        <v>137.19999999999999</v>
      </c>
      <c r="Q152" s="3">
        <v>1759.8000000000002</v>
      </c>
      <c r="R152" s="3">
        <v>162.80000000000001</v>
      </c>
      <c r="S152" s="3">
        <v>150.5</v>
      </c>
      <c r="T152" s="3">
        <v>146.1</v>
      </c>
      <c r="U152" s="3">
        <v>149.9</v>
      </c>
      <c r="V152" s="3">
        <v>446.5</v>
      </c>
      <c r="W152" t="s">
        <v>32</v>
      </c>
      <c r="X152" s="3">
        <v>150.69999999999999</v>
      </c>
      <c r="Y152" s="3">
        <v>145.30000000000001</v>
      </c>
      <c r="Z152" s="3">
        <v>150.1</v>
      </c>
      <c r="AA152" s="3">
        <v>149.9</v>
      </c>
      <c r="AB152" s="3">
        <v>129.19999999999999</v>
      </c>
      <c r="AC152" s="3">
        <v>143.4</v>
      </c>
      <c r="AD152" s="3">
        <v>155.5</v>
      </c>
      <c r="AE152" s="3">
        <v>134.9</v>
      </c>
      <c r="AF152" s="3">
        <v>142.19999999999999</v>
      </c>
      <c r="AG152" s="3">
        <v>699.8</v>
      </c>
      <c r="AH152" s="3">
        <v>141</v>
      </c>
      <c r="AI152" s="10" t="str">
        <f t="shared" si="2"/>
        <v>2019 February</v>
      </c>
    </row>
    <row r="153" spans="1:35">
      <c r="A153" t="s">
        <v>33</v>
      </c>
      <c r="B153">
        <v>2019</v>
      </c>
      <c r="C153" t="s">
        <v>35</v>
      </c>
      <c r="D153" s="3">
        <v>139.4</v>
      </c>
      <c r="E153" s="3">
        <v>150.1</v>
      </c>
      <c r="F153" s="3">
        <v>145.30000000000001</v>
      </c>
      <c r="G153" s="3">
        <v>141.69999999999999</v>
      </c>
      <c r="H153" s="3">
        <v>118.4</v>
      </c>
      <c r="I153" s="3">
        <v>137</v>
      </c>
      <c r="J153" s="3">
        <v>131.6</v>
      </c>
      <c r="K153" s="3">
        <v>119.9</v>
      </c>
      <c r="L153" s="3">
        <v>110.4</v>
      </c>
      <c r="M153" s="3">
        <v>140.80000000000001</v>
      </c>
      <c r="N153" s="3">
        <v>128.30000000000001</v>
      </c>
      <c r="O153" s="3">
        <v>153.5</v>
      </c>
      <c r="P153" s="3">
        <v>138</v>
      </c>
      <c r="Q153" s="3">
        <v>1754.4</v>
      </c>
      <c r="R153" s="3">
        <v>164.9</v>
      </c>
      <c r="S153" s="3">
        <v>143.30000000000001</v>
      </c>
      <c r="T153" s="3">
        <v>130.80000000000001</v>
      </c>
      <c r="U153" s="3">
        <v>141.4</v>
      </c>
      <c r="V153" s="3">
        <v>415.5</v>
      </c>
      <c r="W153">
        <v>148.5</v>
      </c>
      <c r="X153" s="3">
        <v>148.5</v>
      </c>
      <c r="Y153" s="3">
        <v>127.1</v>
      </c>
      <c r="Z153" s="3">
        <v>136.6</v>
      </c>
      <c r="AA153" s="3">
        <v>138.5</v>
      </c>
      <c r="AB153" s="3">
        <v>119.2</v>
      </c>
      <c r="AC153" s="3">
        <v>132.19999999999999</v>
      </c>
      <c r="AD153" s="3">
        <v>146.6</v>
      </c>
      <c r="AE153" s="3">
        <v>133</v>
      </c>
      <c r="AF153" s="3">
        <v>132.4</v>
      </c>
      <c r="AG153" s="3">
        <v>653.4</v>
      </c>
      <c r="AH153" s="3">
        <v>138.6</v>
      </c>
      <c r="AI153" s="10" t="str">
        <f t="shared" si="2"/>
        <v>2019 February</v>
      </c>
    </row>
    <row r="154" spans="1:35">
      <c r="A154" t="s">
        <v>30</v>
      </c>
      <c r="B154">
        <v>2019</v>
      </c>
      <c r="C154" t="s">
        <v>46</v>
      </c>
      <c r="D154" s="3">
        <v>142.80000000000001</v>
      </c>
      <c r="E154" s="3">
        <v>165.3</v>
      </c>
      <c r="F154" s="3">
        <v>149.5</v>
      </c>
      <c r="G154" s="3">
        <v>148.69999999999999</v>
      </c>
      <c r="H154" s="3">
        <v>127.5</v>
      </c>
      <c r="I154" s="3">
        <v>144.30000000000001</v>
      </c>
      <c r="J154" s="3">
        <v>209.5</v>
      </c>
      <c r="K154" s="3">
        <v>138.80000000000001</v>
      </c>
      <c r="L154" s="3">
        <v>113.6</v>
      </c>
      <c r="M154" s="3">
        <v>149.1</v>
      </c>
      <c r="N154" s="3">
        <v>139.30000000000001</v>
      </c>
      <c r="O154" s="3">
        <v>158.30000000000001</v>
      </c>
      <c r="P154" s="3">
        <v>154.30000000000001</v>
      </c>
      <c r="Q154" s="3">
        <v>1940.9999999999995</v>
      </c>
      <c r="R154" s="3">
        <v>167.8</v>
      </c>
      <c r="S154" s="3">
        <v>152.6</v>
      </c>
      <c r="T154" s="3">
        <v>147.30000000000001</v>
      </c>
      <c r="U154" s="3">
        <v>151.9</v>
      </c>
      <c r="V154" s="3">
        <v>451.79999999999995</v>
      </c>
      <c r="W154" t="s">
        <v>32</v>
      </c>
      <c r="X154" s="3">
        <v>150.69999999999999</v>
      </c>
      <c r="Y154" s="3">
        <v>149.9</v>
      </c>
      <c r="Z154" s="3">
        <v>151.19999999999999</v>
      </c>
      <c r="AA154" s="3">
        <v>154.80000000000001</v>
      </c>
      <c r="AB154" s="3">
        <v>135</v>
      </c>
      <c r="AC154" s="3">
        <v>149.5</v>
      </c>
      <c r="AD154" s="3">
        <v>161.1</v>
      </c>
      <c r="AE154" s="3">
        <v>140.6</v>
      </c>
      <c r="AF154" s="3">
        <v>147.1</v>
      </c>
      <c r="AG154" s="3">
        <v>723.4</v>
      </c>
      <c r="AH154" s="3">
        <v>152.30000000000001</v>
      </c>
      <c r="AI154" s="10" t="str">
        <f t="shared" si="2"/>
        <v>2019 December</v>
      </c>
    </row>
    <row r="155" spans="1:35">
      <c r="A155" t="s">
        <v>33</v>
      </c>
      <c r="B155">
        <v>2019</v>
      </c>
      <c r="C155" t="s">
        <v>46</v>
      </c>
      <c r="D155" s="3">
        <v>144.9</v>
      </c>
      <c r="E155" s="3">
        <v>164.5</v>
      </c>
      <c r="F155" s="3">
        <v>153.69999999999999</v>
      </c>
      <c r="G155" s="3">
        <v>147.5</v>
      </c>
      <c r="H155" s="3">
        <v>122.7</v>
      </c>
      <c r="I155" s="3">
        <v>147.19999999999999</v>
      </c>
      <c r="J155" s="3">
        <v>231.5</v>
      </c>
      <c r="K155" s="3">
        <v>137.19999999999999</v>
      </c>
      <c r="L155" s="3">
        <v>114.7</v>
      </c>
      <c r="M155" s="3">
        <v>148</v>
      </c>
      <c r="N155" s="3">
        <v>130.80000000000001</v>
      </c>
      <c r="O155" s="3">
        <v>157.69999999999999</v>
      </c>
      <c r="P155" s="3">
        <v>156.30000000000001</v>
      </c>
      <c r="Q155" s="3">
        <v>1956.7</v>
      </c>
      <c r="R155" s="3">
        <v>170.4</v>
      </c>
      <c r="S155" s="3">
        <v>146.80000000000001</v>
      </c>
      <c r="T155" s="3">
        <v>132.80000000000001</v>
      </c>
      <c r="U155" s="3">
        <v>144.6</v>
      </c>
      <c r="V155" s="3">
        <v>424.20000000000005</v>
      </c>
      <c r="W155">
        <v>152.80000000000001</v>
      </c>
      <c r="X155" s="3">
        <v>152.80000000000001</v>
      </c>
      <c r="Y155" s="3">
        <v>133.6</v>
      </c>
      <c r="Z155" s="3">
        <v>139.80000000000001</v>
      </c>
      <c r="AA155" s="3">
        <v>143.19999999999999</v>
      </c>
      <c r="AB155" s="3">
        <v>125.2</v>
      </c>
      <c r="AC155" s="3">
        <v>136.80000000000001</v>
      </c>
      <c r="AD155" s="3">
        <v>151.9</v>
      </c>
      <c r="AE155" s="3">
        <v>140.19999999999999</v>
      </c>
      <c r="AF155" s="3">
        <v>137.69999999999999</v>
      </c>
      <c r="AG155" s="3">
        <v>679.7</v>
      </c>
      <c r="AH155" s="3">
        <v>148.30000000000001</v>
      </c>
      <c r="AI155" s="10" t="str">
        <f t="shared" si="2"/>
        <v>2019 December</v>
      </c>
    </row>
    <row r="156" spans="1:35">
      <c r="A156" t="s">
        <v>30</v>
      </c>
      <c r="B156">
        <v>2019</v>
      </c>
      <c r="C156" t="s">
        <v>41</v>
      </c>
      <c r="D156" s="3">
        <v>139.19999999999999</v>
      </c>
      <c r="E156" s="3">
        <v>161.9</v>
      </c>
      <c r="F156" s="3">
        <v>137.1</v>
      </c>
      <c r="G156" s="3">
        <v>144.6</v>
      </c>
      <c r="H156" s="3">
        <v>124.7</v>
      </c>
      <c r="I156" s="3">
        <v>145.5</v>
      </c>
      <c r="J156" s="3">
        <v>156.19999999999999</v>
      </c>
      <c r="K156" s="3">
        <v>131.5</v>
      </c>
      <c r="L156" s="3">
        <v>111.7</v>
      </c>
      <c r="M156" s="3">
        <v>142.69999999999999</v>
      </c>
      <c r="N156" s="3">
        <v>138.5</v>
      </c>
      <c r="O156" s="3">
        <v>156.9</v>
      </c>
      <c r="P156" s="3">
        <v>144</v>
      </c>
      <c r="Q156" s="3">
        <v>1834.5000000000002</v>
      </c>
      <c r="R156" s="3">
        <v>165.1</v>
      </c>
      <c r="S156" s="3">
        <v>151.80000000000001</v>
      </c>
      <c r="T156" s="3">
        <v>146.6</v>
      </c>
      <c r="U156" s="3">
        <v>151.1</v>
      </c>
      <c r="V156" s="3">
        <v>449.5</v>
      </c>
      <c r="W156" t="s">
        <v>32</v>
      </c>
      <c r="X156" s="3">
        <v>150.69999999999999</v>
      </c>
      <c r="Y156" s="3">
        <v>146.4</v>
      </c>
      <c r="Z156" s="3">
        <v>150.19999999999999</v>
      </c>
      <c r="AA156" s="3">
        <v>152.69999999999999</v>
      </c>
      <c r="AB156" s="3">
        <v>131.4</v>
      </c>
      <c r="AC156" s="3">
        <v>148</v>
      </c>
      <c r="AD156" s="3">
        <v>159.69999999999999</v>
      </c>
      <c r="AE156" s="3">
        <v>138.80000000000001</v>
      </c>
      <c r="AF156" s="3">
        <v>144.9</v>
      </c>
      <c r="AG156" s="3">
        <v>713.30000000000007</v>
      </c>
      <c r="AH156" s="3">
        <v>145.69999999999999</v>
      </c>
      <c r="AI156" s="10" t="str">
        <f t="shared" si="2"/>
        <v>2019 August</v>
      </c>
    </row>
    <row r="157" spans="1:35">
      <c r="A157" t="s">
        <v>33</v>
      </c>
      <c r="B157">
        <v>2019</v>
      </c>
      <c r="C157" t="s">
        <v>41</v>
      </c>
      <c r="D157" s="3">
        <v>142.1</v>
      </c>
      <c r="E157" s="3">
        <v>158.30000000000001</v>
      </c>
      <c r="F157" s="3">
        <v>140.80000000000001</v>
      </c>
      <c r="G157" s="3">
        <v>144.9</v>
      </c>
      <c r="H157" s="3">
        <v>119.9</v>
      </c>
      <c r="I157" s="3">
        <v>153.9</v>
      </c>
      <c r="J157" s="3">
        <v>189.1</v>
      </c>
      <c r="K157" s="3">
        <v>129.80000000000001</v>
      </c>
      <c r="L157" s="3">
        <v>112.7</v>
      </c>
      <c r="M157" s="3">
        <v>142.5</v>
      </c>
      <c r="N157" s="3">
        <v>129.80000000000001</v>
      </c>
      <c r="O157" s="3">
        <v>156.19999999999999</v>
      </c>
      <c r="P157" s="3">
        <v>149.1</v>
      </c>
      <c r="Q157" s="3">
        <v>1869.1</v>
      </c>
      <c r="R157" s="3">
        <v>167.9</v>
      </c>
      <c r="S157" s="3">
        <v>145</v>
      </c>
      <c r="T157" s="3">
        <v>132.19999999999999</v>
      </c>
      <c r="U157" s="3">
        <v>143</v>
      </c>
      <c r="V157" s="3">
        <v>420.2</v>
      </c>
      <c r="W157">
        <v>151.6</v>
      </c>
      <c r="X157" s="3">
        <v>151.6</v>
      </c>
      <c r="Y157" s="3">
        <v>125.5</v>
      </c>
      <c r="Z157" s="3">
        <v>138.1</v>
      </c>
      <c r="AA157" s="3">
        <v>141.5</v>
      </c>
      <c r="AB157" s="3">
        <v>120.8</v>
      </c>
      <c r="AC157" s="3">
        <v>135.4</v>
      </c>
      <c r="AD157" s="3">
        <v>151.5</v>
      </c>
      <c r="AE157" s="3">
        <v>137.80000000000001</v>
      </c>
      <c r="AF157" s="3">
        <v>135.30000000000001</v>
      </c>
      <c r="AG157" s="3">
        <v>667.39999999999986</v>
      </c>
      <c r="AH157" s="3">
        <v>144.19999999999999</v>
      </c>
      <c r="AI157" s="10" t="str">
        <f t="shared" si="2"/>
        <v>2019 August</v>
      </c>
    </row>
    <row r="158" spans="1:35">
      <c r="A158" t="s">
        <v>34</v>
      </c>
      <c r="B158">
        <v>2018</v>
      </c>
      <c r="C158" t="s">
        <v>42</v>
      </c>
      <c r="D158" s="3">
        <v>138.6</v>
      </c>
      <c r="E158" s="3">
        <v>145.80000000000001</v>
      </c>
      <c r="F158" s="3">
        <v>135.1</v>
      </c>
      <c r="G158" s="3">
        <v>142.9</v>
      </c>
      <c r="H158" s="3">
        <v>122.1</v>
      </c>
      <c r="I158" s="3">
        <v>145.4</v>
      </c>
      <c r="J158" s="3">
        <v>150</v>
      </c>
      <c r="K158" s="3">
        <v>121.4</v>
      </c>
      <c r="L158" s="3">
        <v>113.7</v>
      </c>
      <c r="M158" s="3">
        <v>139.5</v>
      </c>
      <c r="N158" s="3">
        <v>130.80000000000001</v>
      </c>
      <c r="O158" s="3">
        <v>153.80000000000001</v>
      </c>
      <c r="P158" s="3">
        <v>140.4</v>
      </c>
      <c r="Q158" s="3">
        <v>1779.5</v>
      </c>
      <c r="R158" s="3">
        <v>159.19999999999999</v>
      </c>
      <c r="S158" s="3">
        <v>147.69999999999999</v>
      </c>
      <c r="T158" s="3">
        <v>139.1</v>
      </c>
      <c r="U158" s="3">
        <v>146.5</v>
      </c>
      <c r="V158" s="3">
        <v>433.29999999999995</v>
      </c>
      <c r="W158">
        <v>145.30000000000001</v>
      </c>
      <c r="X158" s="3">
        <v>145.30000000000001</v>
      </c>
      <c r="Y158" s="3">
        <v>142.30000000000001</v>
      </c>
      <c r="Z158" s="3">
        <v>139.69999999999999</v>
      </c>
      <c r="AA158" s="3">
        <v>138.4</v>
      </c>
      <c r="AB158" s="3">
        <v>126</v>
      </c>
      <c r="AC158" s="3">
        <v>134.5</v>
      </c>
      <c r="AD158" s="3">
        <v>146.19999999999999</v>
      </c>
      <c r="AE158" s="3">
        <v>130.9</v>
      </c>
      <c r="AF158" s="3">
        <v>134.69999999999999</v>
      </c>
      <c r="AG158" s="3">
        <v>665.8</v>
      </c>
      <c r="AH158" s="3">
        <v>140.19999999999999</v>
      </c>
      <c r="AI158" s="10" t="str">
        <f t="shared" si="2"/>
        <v>2018 September</v>
      </c>
    </row>
    <row r="159" spans="1:35">
      <c r="A159" t="s">
        <v>34</v>
      </c>
      <c r="B159">
        <v>2018</v>
      </c>
      <c r="C159" t="s">
        <v>43</v>
      </c>
      <c r="D159" s="3">
        <v>137.4</v>
      </c>
      <c r="E159" s="3">
        <v>149.5</v>
      </c>
      <c r="F159" s="3">
        <v>137.30000000000001</v>
      </c>
      <c r="G159" s="3">
        <v>141.9</v>
      </c>
      <c r="H159" s="3">
        <v>121.1</v>
      </c>
      <c r="I159" s="3">
        <v>142.5</v>
      </c>
      <c r="J159" s="3">
        <v>146.69999999999999</v>
      </c>
      <c r="K159" s="3">
        <v>119.1</v>
      </c>
      <c r="L159" s="3">
        <v>111.9</v>
      </c>
      <c r="M159" s="3">
        <v>141</v>
      </c>
      <c r="N159" s="3">
        <v>133.6</v>
      </c>
      <c r="O159" s="3">
        <v>154.5</v>
      </c>
      <c r="P159" s="3">
        <v>139.69999999999999</v>
      </c>
      <c r="Q159" s="3">
        <v>1776.2</v>
      </c>
      <c r="R159" s="3">
        <v>162.6</v>
      </c>
      <c r="S159" s="3">
        <v>148</v>
      </c>
      <c r="T159" s="3">
        <v>139.19999999999999</v>
      </c>
      <c r="U159" s="3">
        <v>146.80000000000001</v>
      </c>
      <c r="V159" s="3">
        <v>434</v>
      </c>
      <c r="W159">
        <v>146.9</v>
      </c>
      <c r="X159" s="3">
        <v>146.9</v>
      </c>
      <c r="Y159" s="3">
        <v>145.30000000000001</v>
      </c>
      <c r="Z159" s="3">
        <v>142.19999999999999</v>
      </c>
      <c r="AA159" s="3">
        <v>142.1</v>
      </c>
      <c r="AB159" s="3">
        <v>125.5</v>
      </c>
      <c r="AC159" s="3">
        <v>136.5</v>
      </c>
      <c r="AD159" s="3">
        <v>147.80000000000001</v>
      </c>
      <c r="AE159" s="3">
        <v>132</v>
      </c>
      <c r="AF159" s="3">
        <v>136.30000000000001</v>
      </c>
      <c r="AG159" s="3">
        <v>672.5</v>
      </c>
      <c r="AH159" s="3">
        <v>140.80000000000001</v>
      </c>
      <c r="AI159" s="10" t="str">
        <f t="shared" si="2"/>
        <v>2018 October</v>
      </c>
    </row>
    <row r="160" spans="1:35">
      <c r="A160" t="s">
        <v>34</v>
      </c>
      <c r="B160">
        <v>2018</v>
      </c>
      <c r="C160" t="s">
        <v>45</v>
      </c>
      <c r="D160" s="3">
        <v>137.4</v>
      </c>
      <c r="E160" s="3">
        <v>149.19999999999999</v>
      </c>
      <c r="F160" s="3">
        <v>137.1</v>
      </c>
      <c r="G160" s="3">
        <v>141.80000000000001</v>
      </c>
      <c r="H160" s="3">
        <v>121.1</v>
      </c>
      <c r="I160" s="3">
        <v>142.80000000000001</v>
      </c>
      <c r="J160" s="3">
        <v>146.69999999999999</v>
      </c>
      <c r="K160" s="3">
        <v>119.1</v>
      </c>
      <c r="L160" s="3">
        <v>111.9</v>
      </c>
      <c r="M160" s="3">
        <v>140.9</v>
      </c>
      <c r="N160" s="3">
        <v>133.5</v>
      </c>
      <c r="O160" s="3">
        <v>154.5</v>
      </c>
      <c r="P160" s="3">
        <v>139.69999999999999</v>
      </c>
      <c r="Q160" s="3">
        <v>1775.7000000000003</v>
      </c>
      <c r="R160" s="3">
        <v>162.6</v>
      </c>
      <c r="S160" s="3">
        <v>148</v>
      </c>
      <c r="T160" s="3">
        <v>139.1</v>
      </c>
      <c r="U160" s="3">
        <v>146.69999999999999</v>
      </c>
      <c r="V160" s="3">
        <v>433.8</v>
      </c>
      <c r="W160">
        <v>146.9</v>
      </c>
      <c r="X160" s="3">
        <v>146.9</v>
      </c>
      <c r="Y160" s="3">
        <v>145.1</v>
      </c>
      <c r="Z160" s="3">
        <v>142.19999999999999</v>
      </c>
      <c r="AA160" s="3">
        <v>142.1</v>
      </c>
      <c r="AB160" s="3">
        <v>125.5</v>
      </c>
      <c r="AC160" s="3">
        <v>136.5</v>
      </c>
      <c r="AD160" s="3">
        <v>147.80000000000001</v>
      </c>
      <c r="AE160" s="3">
        <v>132</v>
      </c>
      <c r="AF160" s="3">
        <v>136.30000000000001</v>
      </c>
      <c r="AG160" s="3">
        <v>672.5</v>
      </c>
      <c r="AH160" s="3">
        <v>140.80000000000001</v>
      </c>
      <c r="AI160" s="10" t="str">
        <f t="shared" si="2"/>
        <v>2018 November</v>
      </c>
    </row>
    <row r="161" spans="1:35">
      <c r="A161" t="s">
        <v>34</v>
      </c>
      <c r="B161">
        <v>2018</v>
      </c>
      <c r="C161" t="s">
        <v>38</v>
      </c>
      <c r="D161" s="3">
        <v>136.6</v>
      </c>
      <c r="E161" s="3">
        <v>146.6</v>
      </c>
      <c r="F161" s="3">
        <v>133.6</v>
      </c>
      <c r="G161" s="3">
        <v>142.1</v>
      </c>
      <c r="H161" s="3">
        <v>121</v>
      </c>
      <c r="I161" s="3">
        <v>154.6</v>
      </c>
      <c r="J161" s="3">
        <v>135.6</v>
      </c>
      <c r="K161" s="3">
        <v>122.3</v>
      </c>
      <c r="L161" s="3">
        <v>109.6</v>
      </c>
      <c r="M161" s="3">
        <v>138.1</v>
      </c>
      <c r="N161" s="3">
        <v>129.9</v>
      </c>
      <c r="O161" s="3">
        <v>151.69999999999999</v>
      </c>
      <c r="P161" s="3">
        <v>138.1</v>
      </c>
      <c r="Q161" s="3">
        <v>1759.8</v>
      </c>
      <c r="R161" s="3">
        <v>157.9</v>
      </c>
      <c r="S161" s="3">
        <v>146</v>
      </c>
      <c r="T161" s="3">
        <v>137.4</v>
      </c>
      <c r="U161" s="3">
        <v>144.69999999999999</v>
      </c>
      <c r="V161" s="3">
        <v>428.09999999999997</v>
      </c>
      <c r="W161">
        <v>143.19999999999999</v>
      </c>
      <c r="X161" s="3">
        <v>143.19999999999999</v>
      </c>
      <c r="Y161" s="3">
        <v>136.9</v>
      </c>
      <c r="Z161" s="3">
        <v>137.4</v>
      </c>
      <c r="AA161" s="3">
        <v>136</v>
      </c>
      <c r="AB161" s="3">
        <v>122.9</v>
      </c>
      <c r="AC161" s="3">
        <v>131.80000000000001</v>
      </c>
      <c r="AD161" s="3">
        <v>142.1</v>
      </c>
      <c r="AE161" s="3">
        <v>129.9</v>
      </c>
      <c r="AF161" s="3">
        <v>132.1</v>
      </c>
      <c r="AG161" s="3">
        <v>654.1</v>
      </c>
      <c r="AH161" s="3">
        <v>137.80000000000001</v>
      </c>
      <c r="AI161" s="10" t="str">
        <f t="shared" si="2"/>
        <v>2018 May</v>
      </c>
    </row>
    <row r="162" spans="1:35">
      <c r="A162" t="s">
        <v>34</v>
      </c>
      <c r="B162">
        <v>2018</v>
      </c>
      <c r="C162" t="s">
        <v>36</v>
      </c>
      <c r="D162" s="3">
        <v>136.19999999999999</v>
      </c>
      <c r="E162" s="3">
        <v>143.6</v>
      </c>
      <c r="F162" s="3">
        <v>138.30000000000001</v>
      </c>
      <c r="G162" s="3">
        <v>141.19999999999999</v>
      </c>
      <c r="H162" s="3">
        <v>120.7</v>
      </c>
      <c r="I162" s="3">
        <v>146.19999999999999</v>
      </c>
      <c r="J162" s="3">
        <v>134.6</v>
      </c>
      <c r="K162" s="3">
        <v>124.6</v>
      </c>
      <c r="L162" s="3">
        <v>116.1</v>
      </c>
      <c r="M162" s="3">
        <v>137.80000000000001</v>
      </c>
      <c r="N162" s="3">
        <v>129.1</v>
      </c>
      <c r="O162" s="3">
        <v>150.4</v>
      </c>
      <c r="P162" s="3">
        <v>137.19999999999999</v>
      </c>
      <c r="Q162" s="3">
        <v>1756</v>
      </c>
      <c r="R162" s="3">
        <v>156.30000000000001</v>
      </c>
      <c r="S162" s="3">
        <v>144.30000000000001</v>
      </c>
      <c r="T162" s="3">
        <v>136.19999999999999</v>
      </c>
      <c r="U162" s="3">
        <v>143.1</v>
      </c>
      <c r="V162" s="3">
        <v>423.6</v>
      </c>
      <c r="W162">
        <v>142</v>
      </c>
      <c r="X162" s="3">
        <v>142</v>
      </c>
      <c r="Y162" s="3">
        <v>136.5</v>
      </c>
      <c r="Z162" s="3">
        <v>135.6</v>
      </c>
      <c r="AA162" s="3">
        <v>134.30000000000001</v>
      </c>
      <c r="AB162" s="3">
        <v>121</v>
      </c>
      <c r="AC162" s="3">
        <v>130.4</v>
      </c>
      <c r="AD162" s="3">
        <v>139.80000000000001</v>
      </c>
      <c r="AE162" s="3">
        <v>128.19999999999999</v>
      </c>
      <c r="AF162" s="3">
        <v>130.30000000000001</v>
      </c>
      <c r="AG162" s="3">
        <v>645.5</v>
      </c>
      <c r="AH162" s="3">
        <v>136.5</v>
      </c>
      <c r="AI162" s="10" t="str">
        <f t="shared" si="2"/>
        <v>2018 March</v>
      </c>
    </row>
    <row r="163" spans="1:35">
      <c r="A163" t="s">
        <v>34</v>
      </c>
      <c r="B163">
        <v>2018</v>
      </c>
      <c r="C163" t="s">
        <v>39</v>
      </c>
      <c r="D163" s="3">
        <v>136.9</v>
      </c>
      <c r="E163" s="3">
        <v>148.69999999999999</v>
      </c>
      <c r="F163" s="3">
        <v>135.6</v>
      </c>
      <c r="G163" s="3">
        <v>142.30000000000001</v>
      </c>
      <c r="H163" s="3">
        <v>121.3</v>
      </c>
      <c r="I163" s="3">
        <v>153.19999999999999</v>
      </c>
      <c r="J163" s="3">
        <v>143.69999999999999</v>
      </c>
      <c r="K163" s="3">
        <v>121.4</v>
      </c>
      <c r="L163" s="3">
        <v>111.1</v>
      </c>
      <c r="M163" s="3">
        <v>138.4</v>
      </c>
      <c r="N163" s="3">
        <v>130.30000000000001</v>
      </c>
      <c r="O163" s="3">
        <v>151.80000000000001</v>
      </c>
      <c r="P163" s="3">
        <v>139.4</v>
      </c>
      <c r="Q163" s="3">
        <v>1774.1000000000001</v>
      </c>
      <c r="R163" s="3">
        <v>158.30000000000001</v>
      </c>
      <c r="S163" s="3">
        <v>146.4</v>
      </c>
      <c r="T163" s="3">
        <v>138.1</v>
      </c>
      <c r="U163" s="3">
        <v>145.19999999999999</v>
      </c>
      <c r="V163" s="3">
        <v>429.7</v>
      </c>
      <c r="W163">
        <v>142.5</v>
      </c>
      <c r="X163" s="3">
        <v>142.5</v>
      </c>
      <c r="Y163" s="3">
        <v>138.1</v>
      </c>
      <c r="Z163" s="3">
        <v>137.9</v>
      </c>
      <c r="AA163" s="3">
        <v>136.19999999999999</v>
      </c>
      <c r="AB163" s="3">
        <v>123.7</v>
      </c>
      <c r="AC163" s="3">
        <v>132.6</v>
      </c>
      <c r="AD163" s="3">
        <v>142.80000000000001</v>
      </c>
      <c r="AE163" s="3">
        <v>130.1</v>
      </c>
      <c r="AF163" s="3">
        <v>132.6</v>
      </c>
      <c r="AG163" s="3">
        <v>656.90000000000009</v>
      </c>
      <c r="AH163" s="3">
        <v>138.5</v>
      </c>
      <c r="AI163" s="10" t="str">
        <f t="shared" si="2"/>
        <v>2018 June</v>
      </c>
    </row>
    <row r="164" spans="1:35">
      <c r="A164" t="s">
        <v>34</v>
      </c>
      <c r="B164">
        <v>2018</v>
      </c>
      <c r="C164" t="s">
        <v>40</v>
      </c>
      <c r="D164" s="3">
        <v>137.5</v>
      </c>
      <c r="E164" s="3">
        <v>149.1</v>
      </c>
      <c r="F164" s="3">
        <v>139.19999999999999</v>
      </c>
      <c r="G164" s="3">
        <v>142.5</v>
      </c>
      <c r="H164" s="3">
        <v>121.4</v>
      </c>
      <c r="I164" s="3">
        <v>151.6</v>
      </c>
      <c r="J164" s="3">
        <v>155.9</v>
      </c>
      <c r="K164" s="3">
        <v>121.7</v>
      </c>
      <c r="L164" s="3">
        <v>113.5</v>
      </c>
      <c r="M164" s="3">
        <v>138.9</v>
      </c>
      <c r="N164" s="3">
        <v>130.30000000000001</v>
      </c>
      <c r="O164" s="3">
        <v>152.30000000000001</v>
      </c>
      <c r="P164" s="3">
        <v>141.4</v>
      </c>
      <c r="Q164" s="3">
        <v>1795.3</v>
      </c>
      <c r="R164" s="3">
        <v>157.5</v>
      </c>
      <c r="S164" s="3">
        <v>146.80000000000001</v>
      </c>
      <c r="T164" s="3">
        <v>138.4</v>
      </c>
      <c r="U164" s="3">
        <v>145.6</v>
      </c>
      <c r="V164" s="3">
        <v>430.80000000000007</v>
      </c>
      <c r="W164">
        <v>143.6</v>
      </c>
      <c r="X164" s="3">
        <v>143.6</v>
      </c>
      <c r="Y164" s="3">
        <v>139.69999999999999</v>
      </c>
      <c r="Z164" s="3">
        <v>138.6</v>
      </c>
      <c r="AA164" s="3">
        <v>137</v>
      </c>
      <c r="AB164" s="3">
        <v>123.6</v>
      </c>
      <c r="AC164" s="3">
        <v>133.1</v>
      </c>
      <c r="AD164" s="3">
        <v>144.69999999999999</v>
      </c>
      <c r="AE164" s="3">
        <v>130.1</v>
      </c>
      <c r="AF164" s="3">
        <v>133.19999999999999</v>
      </c>
      <c r="AG164" s="3">
        <v>658.59999999999991</v>
      </c>
      <c r="AH164" s="3">
        <v>139.80000000000001</v>
      </c>
      <c r="AI164" s="10" t="str">
        <f t="shared" si="2"/>
        <v>2018 July</v>
      </c>
    </row>
    <row r="165" spans="1:35">
      <c r="A165" t="s">
        <v>34</v>
      </c>
      <c r="B165">
        <v>2018</v>
      </c>
      <c r="C165" t="s">
        <v>31</v>
      </c>
      <c r="D165" s="3">
        <v>136</v>
      </c>
      <c r="E165" s="3">
        <v>144.19999999999999</v>
      </c>
      <c r="F165" s="3">
        <v>143.69999999999999</v>
      </c>
      <c r="G165" s="3">
        <v>141.1</v>
      </c>
      <c r="H165" s="3">
        <v>120.7</v>
      </c>
      <c r="I165" s="3">
        <v>141.30000000000001</v>
      </c>
      <c r="J165" s="3">
        <v>151.6</v>
      </c>
      <c r="K165" s="3">
        <v>127.3</v>
      </c>
      <c r="L165" s="3">
        <v>118.8</v>
      </c>
      <c r="M165" s="3">
        <v>137.5</v>
      </c>
      <c r="N165" s="3">
        <v>129</v>
      </c>
      <c r="O165" s="3">
        <v>149.5</v>
      </c>
      <c r="P165" s="3">
        <v>139.19999999999999</v>
      </c>
      <c r="Q165" s="3">
        <v>1779.9</v>
      </c>
      <c r="R165" s="3">
        <v>154.69999999999999</v>
      </c>
      <c r="S165" s="3">
        <v>143.5</v>
      </c>
      <c r="T165" s="3">
        <v>135.5</v>
      </c>
      <c r="U165" s="3">
        <v>142.30000000000001</v>
      </c>
      <c r="V165" s="3">
        <v>421.3</v>
      </c>
      <c r="W165">
        <v>140.4</v>
      </c>
      <c r="X165" s="3">
        <v>140.4</v>
      </c>
      <c r="Y165" s="3">
        <v>136.6</v>
      </c>
      <c r="Z165" s="3">
        <v>134.9</v>
      </c>
      <c r="AA165" s="3">
        <v>133.30000000000001</v>
      </c>
      <c r="AB165" s="3">
        <v>119.3</v>
      </c>
      <c r="AC165" s="3">
        <v>129.69999999999999</v>
      </c>
      <c r="AD165" s="3">
        <v>139</v>
      </c>
      <c r="AE165" s="3">
        <v>127.3</v>
      </c>
      <c r="AF165" s="3">
        <v>129.1</v>
      </c>
      <c r="AG165" s="3">
        <v>640.29999999999995</v>
      </c>
      <c r="AH165" s="3">
        <v>136.9</v>
      </c>
      <c r="AI165" s="10" t="str">
        <f t="shared" si="2"/>
        <v>2018 January</v>
      </c>
    </row>
    <row r="166" spans="1:35">
      <c r="A166" t="s">
        <v>34</v>
      </c>
      <c r="B166">
        <v>2018</v>
      </c>
      <c r="C166" t="s">
        <v>35</v>
      </c>
      <c r="D166" s="3">
        <v>135.9</v>
      </c>
      <c r="E166" s="3">
        <v>143.5</v>
      </c>
      <c r="F166" s="3">
        <v>140.30000000000001</v>
      </c>
      <c r="G166" s="3">
        <v>140.9</v>
      </c>
      <c r="H166" s="3">
        <v>120.4</v>
      </c>
      <c r="I166" s="3">
        <v>142.9</v>
      </c>
      <c r="J166" s="3">
        <v>140.5</v>
      </c>
      <c r="K166" s="3">
        <v>125.8</v>
      </c>
      <c r="L166" s="3">
        <v>117.1</v>
      </c>
      <c r="M166" s="3">
        <v>137.30000000000001</v>
      </c>
      <c r="N166" s="3">
        <v>128.6</v>
      </c>
      <c r="O166" s="3">
        <v>149.6</v>
      </c>
      <c r="P166" s="3">
        <v>137.6</v>
      </c>
      <c r="Q166" s="3">
        <v>1760.3999999999996</v>
      </c>
      <c r="R166" s="3">
        <v>154.9</v>
      </c>
      <c r="S166" s="3">
        <v>143.80000000000001</v>
      </c>
      <c r="T166" s="3">
        <v>135.6</v>
      </c>
      <c r="U166" s="3">
        <v>142.6</v>
      </c>
      <c r="V166" s="3">
        <v>422</v>
      </c>
      <c r="W166">
        <v>141.30000000000001</v>
      </c>
      <c r="X166" s="3">
        <v>141.30000000000001</v>
      </c>
      <c r="Y166" s="3">
        <v>136.69999999999999</v>
      </c>
      <c r="Z166" s="3">
        <v>135.19999999999999</v>
      </c>
      <c r="AA166" s="3">
        <v>133.80000000000001</v>
      </c>
      <c r="AB166" s="3">
        <v>120.2</v>
      </c>
      <c r="AC166" s="3">
        <v>129.9</v>
      </c>
      <c r="AD166" s="3">
        <v>139</v>
      </c>
      <c r="AE166" s="3">
        <v>127.7</v>
      </c>
      <c r="AF166" s="3">
        <v>129.6</v>
      </c>
      <c r="AG166" s="3">
        <v>642.6</v>
      </c>
      <c r="AH166" s="3">
        <v>136.4</v>
      </c>
      <c r="AI166" s="10" t="str">
        <f t="shared" si="2"/>
        <v>2018 February</v>
      </c>
    </row>
    <row r="167" spans="1:35">
      <c r="A167" t="s">
        <v>34</v>
      </c>
      <c r="B167">
        <v>2018</v>
      </c>
      <c r="C167" t="s">
        <v>46</v>
      </c>
      <c r="D167" s="3">
        <v>137.5</v>
      </c>
      <c r="E167" s="3">
        <v>150.5</v>
      </c>
      <c r="F167" s="3">
        <v>138.80000000000001</v>
      </c>
      <c r="G167" s="3">
        <v>142.1</v>
      </c>
      <c r="H167" s="3">
        <v>122</v>
      </c>
      <c r="I167" s="3">
        <v>139.4</v>
      </c>
      <c r="J167" s="3">
        <v>135.19999999999999</v>
      </c>
      <c r="K167" s="3">
        <v>119.8</v>
      </c>
      <c r="L167" s="3">
        <v>110.3</v>
      </c>
      <c r="M167" s="3">
        <v>140.6</v>
      </c>
      <c r="N167" s="3">
        <v>133.80000000000001</v>
      </c>
      <c r="O167" s="3">
        <v>154.6</v>
      </c>
      <c r="P167" s="3">
        <v>138.19999999999999</v>
      </c>
      <c r="Q167" s="3">
        <v>1762.7999999999997</v>
      </c>
      <c r="R167" s="3">
        <v>163</v>
      </c>
      <c r="S167" s="3">
        <v>148.1</v>
      </c>
      <c r="T167" s="3">
        <v>139.4</v>
      </c>
      <c r="U167" s="3">
        <v>146.80000000000001</v>
      </c>
      <c r="V167" s="3">
        <v>434.3</v>
      </c>
      <c r="W167">
        <v>146.5</v>
      </c>
      <c r="X167" s="3">
        <v>146.5</v>
      </c>
      <c r="Y167" s="3">
        <v>142.69999999999999</v>
      </c>
      <c r="Z167" s="3">
        <v>143.19999999999999</v>
      </c>
      <c r="AA167" s="3">
        <v>144.9</v>
      </c>
      <c r="AB167" s="3">
        <v>123.6</v>
      </c>
      <c r="AC167" s="3">
        <v>136.80000000000001</v>
      </c>
      <c r="AD167" s="3">
        <v>150.1</v>
      </c>
      <c r="AE167" s="3">
        <v>132.19999999999999</v>
      </c>
      <c r="AF167" s="3">
        <v>136.80000000000001</v>
      </c>
      <c r="AG167" s="3">
        <v>672.59999999999991</v>
      </c>
      <c r="AH167" s="3">
        <v>140.1</v>
      </c>
      <c r="AI167" s="10" t="str">
        <f t="shared" si="2"/>
        <v>2018 December</v>
      </c>
    </row>
    <row r="168" spans="1:35">
      <c r="A168" t="s">
        <v>34</v>
      </c>
      <c r="B168">
        <v>2018</v>
      </c>
      <c r="C168" t="s">
        <v>41</v>
      </c>
      <c r="D168" s="3">
        <v>138.30000000000001</v>
      </c>
      <c r="E168" s="3">
        <v>148</v>
      </c>
      <c r="F168" s="3">
        <v>138.1</v>
      </c>
      <c r="G168" s="3">
        <v>142.6</v>
      </c>
      <c r="H168" s="3">
        <v>122.2</v>
      </c>
      <c r="I168" s="3">
        <v>150.6</v>
      </c>
      <c r="J168" s="3">
        <v>156.6</v>
      </c>
      <c r="K168" s="3">
        <v>122.4</v>
      </c>
      <c r="L168" s="3">
        <v>114.7</v>
      </c>
      <c r="M168" s="3">
        <v>139.4</v>
      </c>
      <c r="N168" s="3">
        <v>131.1</v>
      </c>
      <c r="O168" s="3">
        <v>153</v>
      </c>
      <c r="P168" s="3">
        <v>141.69999999999999</v>
      </c>
      <c r="Q168" s="3">
        <v>1798.7000000000003</v>
      </c>
      <c r="R168" s="3">
        <v>157.9</v>
      </c>
      <c r="S168" s="3">
        <v>147.30000000000001</v>
      </c>
      <c r="T168" s="3">
        <v>138.80000000000001</v>
      </c>
      <c r="U168" s="3">
        <v>146.1</v>
      </c>
      <c r="V168" s="3">
        <v>432.20000000000005</v>
      </c>
      <c r="W168">
        <v>144.6</v>
      </c>
      <c r="X168" s="3">
        <v>144.6</v>
      </c>
      <c r="Y168" s="3">
        <v>140.9</v>
      </c>
      <c r="Z168" s="3">
        <v>139.4</v>
      </c>
      <c r="AA168" s="3">
        <v>137.69999999999999</v>
      </c>
      <c r="AB168" s="3">
        <v>124.3</v>
      </c>
      <c r="AC168" s="3">
        <v>133.6</v>
      </c>
      <c r="AD168" s="3">
        <v>146</v>
      </c>
      <c r="AE168" s="3">
        <v>130.1</v>
      </c>
      <c r="AF168" s="3">
        <v>133.9</v>
      </c>
      <c r="AG168" s="3">
        <v>661.3</v>
      </c>
      <c r="AH168" s="3">
        <v>140.4</v>
      </c>
      <c r="AI168" s="10" t="str">
        <f t="shared" si="2"/>
        <v>2018 August</v>
      </c>
    </row>
    <row r="169" spans="1:35">
      <c r="A169" t="s">
        <v>34</v>
      </c>
      <c r="B169">
        <v>2018</v>
      </c>
      <c r="C169" t="s">
        <v>37</v>
      </c>
      <c r="D169" s="3">
        <v>136.4</v>
      </c>
      <c r="E169" s="3">
        <v>144.4</v>
      </c>
      <c r="F169" s="3">
        <v>133.9</v>
      </c>
      <c r="G169" s="3">
        <v>141.6</v>
      </c>
      <c r="H169" s="3">
        <v>121</v>
      </c>
      <c r="I169" s="3">
        <v>153.5</v>
      </c>
      <c r="J169" s="3">
        <v>132.6</v>
      </c>
      <c r="K169" s="3">
        <v>123.5</v>
      </c>
      <c r="L169" s="3">
        <v>113.7</v>
      </c>
      <c r="M169" s="3">
        <v>138.19999999999999</v>
      </c>
      <c r="N169" s="3">
        <v>129.6</v>
      </c>
      <c r="O169" s="3">
        <v>151.19999999999999</v>
      </c>
      <c r="P169" s="3">
        <v>137.5</v>
      </c>
      <c r="Q169" s="3">
        <v>1757.1000000000001</v>
      </c>
      <c r="R169" s="3">
        <v>156.9</v>
      </c>
      <c r="S169" s="3">
        <v>145.30000000000001</v>
      </c>
      <c r="T169" s="3">
        <v>136.69999999999999</v>
      </c>
      <c r="U169" s="3">
        <v>144</v>
      </c>
      <c r="V169" s="3">
        <v>426</v>
      </c>
      <c r="W169">
        <v>142.9</v>
      </c>
      <c r="X169" s="3">
        <v>142.9</v>
      </c>
      <c r="Y169" s="3">
        <v>136.5</v>
      </c>
      <c r="Z169" s="3">
        <v>136.6</v>
      </c>
      <c r="AA169" s="3">
        <v>135.19999999999999</v>
      </c>
      <c r="AB169" s="3">
        <v>121.9</v>
      </c>
      <c r="AC169" s="3">
        <v>131.30000000000001</v>
      </c>
      <c r="AD169" s="3">
        <v>141.4</v>
      </c>
      <c r="AE169" s="3">
        <v>129.19999999999999</v>
      </c>
      <c r="AF169" s="3">
        <v>131.30000000000001</v>
      </c>
      <c r="AG169" s="3">
        <v>650.29999999999995</v>
      </c>
      <c r="AH169" s="3">
        <v>137.1</v>
      </c>
      <c r="AI169" s="10" t="str">
        <f t="shared" si="2"/>
        <v>2018 April</v>
      </c>
    </row>
    <row r="170" spans="1:35">
      <c r="A170" t="s">
        <v>30</v>
      </c>
      <c r="B170">
        <v>2018</v>
      </c>
      <c r="C170" t="s">
        <v>42</v>
      </c>
      <c r="D170" s="3">
        <v>139.4</v>
      </c>
      <c r="E170" s="3">
        <v>147.19999999999999</v>
      </c>
      <c r="F170" s="3">
        <v>136.6</v>
      </c>
      <c r="G170" s="3">
        <v>143.69999999999999</v>
      </c>
      <c r="H170" s="3">
        <v>124.6</v>
      </c>
      <c r="I170" s="3">
        <v>150.1</v>
      </c>
      <c r="J170" s="3">
        <v>149.4</v>
      </c>
      <c r="K170" s="3">
        <v>125.4</v>
      </c>
      <c r="L170" s="3">
        <v>114.4</v>
      </c>
      <c r="M170" s="3">
        <v>138.69999999999999</v>
      </c>
      <c r="N170" s="3">
        <v>133.1</v>
      </c>
      <c r="O170" s="3">
        <v>155.9</v>
      </c>
      <c r="P170" s="3">
        <v>141.30000000000001</v>
      </c>
      <c r="Q170" s="3">
        <v>1799.8000000000002</v>
      </c>
      <c r="R170" s="3">
        <v>157.69999999999999</v>
      </c>
      <c r="S170" s="3">
        <v>152.1</v>
      </c>
      <c r="T170" s="3">
        <v>146.1</v>
      </c>
      <c r="U170" s="3">
        <v>151.30000000000001</v>
      </c>
      <c r="V170" s="3">
        <v>449.5</v>
      </c>
      <c r="W170" t="s">
        <v>32</v>
      </c>
      <c r="X170" s="3">
        <v>143.80000000000001</v>
      </c>
      <c r="Y170" s="3">
        <v>149</v>
      </c>
      <c r="Z170" s="3">
        <v>144</v>
      </c>
      <c r="AA170" s="3">
        <v>140</v>
      </c>
      <c r="AB170" s="3">
        <v>129.9</v>
      </c>
      <c r="AC170" s="3">
        <v>140</v>
      </c>
      <c r="AD170" s="3">
        <v>147.6</v>
      </c>
      <c r="AE170" s="3">
        <v>132</v>
      </c>
      <c r="AF170" s="3">
        <v>137.4</v>
      </c>
      <c r="AG170" s="3">
        <v>683.3</v>
      </c>
      <c r="AH170" s="3">
        <v>142.1</v>
      </c>
      <c r="AI170" s="10" t="str">
        <f t="shared" si="2"/>
        <v>2018 September</v>
      </c>
    </row>
    <row r="171" spans="1:35">
      <c r="A171" t="s">
        <v>33</v>
      </c>
      <c r="B171">
        <v>2018</v>
      </c>
      <c r="C171" t="s">
        <v>42</v>
      </c>
      <c r="D171" s="3">
        <v>137</v>
      </c>
      <c r="E171" s="3">
        <v>143.1</v>
      </c>
      <c r="F171" s="3">
        <v>132.80000000000001</v>
      </c>
      <c r="G171" s="3">
        <v>141.5</v>
      </c>
      <c r="H171" s="3">
        <v>117.8</v>
      </c>
      <c r="I171" s="3">
        <v>140</v>
      </c>
      <c r="J171" s="3">
        <v>151.30000000000001</v>
      </c>
      <c r="K171" s="3">
        <v>113.5</v>
      </c>
      <c r="L171" s="3">
        <v>112.3</v>
      </c>
      <c r="M171" s="3">
        <v>141.19999999999999</v>
      </c>
      <c r="N171" s="3">
        <v>127.7</v>
      </c>
      <c r="O171" s="3">
        <v>151.30000000000001</v>
      </c>
      <c r="P171" s="3">
        <v>138.9</v>
      </c>
      <c r="Q171" s="3">
        <v>1748.4</v>
      </c>
      <c r="R171" s="3">
        <v>163.30000000000001</v>
      </c>
      <c r="S171" s="3">
        <v>140.80000000000001</v>
      </c>
      <c r="T171" s="3">
        <v>129.30000000000001</v>
      </c>
      <c r="U171" s="3">
        <v>139.1</v>
      </c>
      <c r="V171" s="3">
        <v>409.20000000000005</v>
      </c>
      <c r="W171">
        <v>145.30000000000001</v>
      </c>
      <c r="X171" s="3">
        <v>145.30000000000001</v>
      </c>
      <c r="Y171" s="3">
        <v>131.19999999999999</v>
      </c>
      <c r="Z171" s="3">
        <v>134.9</v>
      </c>
      <c r="AA171" s="3">
        <v>135.69999999999999</v>
      </c>
      <c r="AB171" s="3">
        <v>122.5</v>
      </c>
      <c r="AC171" s="3">
        <v>130.19999999999999</v>
      </c>
      <c r="AD171" s="3">
        <v>145.19999999999999</v>
      </c>
      <c r="AE171" s="3">
        <v>129.30000000000001</v>
      </c>
      <c r="AF171" s="3">
        <v>131.9</v>
      </c>
      <c r="AG171" s="3">
        <v>648.79999999999995</v>
      </c>
      <c r="AH171" s="3">
        <v>138.1</v>
      </c>
      <c r="AI171" s="10" t="str">
        <f t="shared" si="2"/>
        <v>2018 September</v>
      </c>
    </row>
    <row r="172" spans="1:35">
      <c r="A172" t="s">
        <v>30</v>
      </c>
      <c r="B172">
        <v>2018</v>
      </c>
      <c r="C172" t="s">
        <v>43</v>
      </c>
      <c r="D172" s="3">
        <v>139.30000000000001</v>
      </c>
      <c r="E172" s="3">
        <v>147.6</v>
      </c>
      <c r="F172" s="3">
        <v>134.6</v>
      </c>
      <c r="G172" s="3">
        <v>141.9</v>
      </c>
      <c r="H172" s="3">
        <v>123.5</v>
      </c>
      <c r="I172" s="3">
        <v>144.5</v>
      </c>
      <c r="J172" s="3">
        <v>147.6</v>
      </c>
      <c r="K172" s="3">
        <v>121.4</v>
      </c>
      <c r="L172" s="3">
        <v>112.3</v>
      </c>
      <c r="M172" s="3">
        <v>139.5</v>
      </c>
      <c r="N172" s="3">
        <v>134.6</v>
      </c>
      <c r="O172" s="3">
        <v>155.19999999999999</v>
      </c>
      <c r="P172" s="3">
        <v>140.19999999999999</v>
      </c>
      <c r="Q172" s="3">
        <v>1782.2</v>
      </c>
      <c r="R172" s="3">
        <v>159.6</v>
      </c>
      <c r="S172" s="3">
        <v>150.69999999999999</v>
      </c>
      <c r="T172" s="3">
        <v>144.5</v>
      </c>
      <c r="U172" s="3">
        <v>149.80000000000001</v>
      </c>
      <c r="V172" s="3">
        <v>445</v>
      </c>
      <c r="W172" t="s">
        <v>32</v>
      </c>
      <c r="X172" s="3">
        <v>143.80000000000001</v>
      </c>
      <c r="Y172" s="3">
        <v>149.69999999999999</v>
      </c>
      <c r="Z172" s="3">
        <v>147.5</v>
      </c>
      <c r="AA172" s="3">
        <v>144.80000000000001</v>
      </c>
      <c r="AB172" s="3">
        <v>130.80000000000001</v>
      </c>
      <c r="AC172" s="3">
        <v>140.1</v>
      </c>
      <c r="AD172" s="3">
        <v>148</v>
      </c>
      <c r="AE172" s="3">
        <v>134.4</v>
      </c>
      <c r="AF172" s="3">
        <v>139.80000000000001</v>
      </c>
      <c r="AG172" s="3">
        <v>692.59999999999991</v>
      </c>
      <c r="AH172" s="3">
        <v>142.19999999999999</v>
      </c>
      <c r="AI172" s="10" t="str">
        <f t="shared" si="2"/>
        <v>2018 October</v>
      </c>
    </row>
    <row r="173" spans="1:35">
      <c r="A173" t="s">
        <v>33</v>
      </c>
      <c r="B173">
        <v>2018</v>
      </c>
      <c r="C173" t="s">
        <v>43</v>
      </c>
      <c r="D173" s="3">
        <v>137.6</v>
      </c>
      <c r="E173" s="3">
        <v>144.9</v>
      </c>
      <c r="F173" s="3">
        <v>133.5</v>
      </c>
      <c r="G173" s="3">
        <v>141.5</v>
      </c>
      <c r="H173" s="3">
        <v>118</v>
      </c>
      <c r="I173" s="3">
        <v>139.5</v>
      </c>
      <c r="J173" s="3">
        <v>153</v>
      </c>
      <c r="K173" s="3">
        <v>113.2</v>
      </c>
      <c r="L173" s="3">
        <v>112.8</v>
      </c>
      <c r="M173" s="3">
        <v>141.1</v>
      </c>
      <c r="N173" s="3">
        <v>127.6</v>
      </c>
      <c r="O173" s="3">
        <v>152</v>
      </c>
      <c r="P173" s="3">
        <v>139.4</v>
      </c>
      <c r="Q173" s="3">
        <v>1754.1</v>
      </c>
      <c r="R173" s="3">
        <v>164</v>
      </c>
      <c r="S173" s="3">
        <v>141.5</v>
      </c>
      <c r="T173" s="3">
        <v>129.80000000000001</v>
      </c>
      <c r="U173" s="3">
        <v>139.69999999999999</v>
      </c>
      <c r="V173" s="3">
        <v>411</v>
      </c>
      <c r="W173">
        <v>146.30000000000001</v>
      </c>
      <c r="X173" s="3">
        <v>146.30000000000001</v>
      </c>
      <c r="Y173" s="3">
        <v>133.4</v>
      </c>
      <c r="Z173" s="3">
        <v>135.1</v>
      </c>
      <c r="AA173" s="3">
        <v>136.19999999999999</v>
      </c>
      <c r="AB173" s="3">
        <v>123.3</v>
      </c>
      <c r="AC173" s="3">
        <v>130.69999999999999</v>
      </c>
      <c r="AD173" s="3">
        <v>145.5</v>
      </c>
      <c r="AE173" s="3">
        <v>130.4</v>
      </c>
      <c r="AF173" s="3">
        <v>132.5</v>
      </c>
      <c r="AG173" s="3">
        <v>652</v>
      </c>
      <c r="AH173" s="3">
        <v>138.9</v>
      </c>
      <c r="AI173" s="10" t="str">
        <f t="shared" si="2"/>
        <v>2018 October</v>
      </c>
    </row>
    <row r="174" spans="1:35">
      <c r="A174" t="s">
        <v>30</v>
      </c>
      <c r="B174">
        <v>2018</v>
      </c>
      <c r="C174" t="s">
        <v>45</v>
      </c>
      <c r="D174" s="3">
        <v>137.1</v>
      </c>
      <c r="E174" s="3">
        <v>150.80000000000001</v>
      </c>
      <c r="F174" s="3">
        <v>136.69999999999999</v>
      </c>
      <c r="G174" s="3">
        <v>141.9</v>
      </c>
      <c r="H174" s="3">
        <v>122.8</v>
      </c>
      <c r="I174" s="3">
        <v>143.9</v>
      </c>
      <c r="J174" s="3">
        <v>147.5</v>
      </c>
      <c r="K174" s="3">
        <v>121</v>
      </c>
      <c r="L174" s="3">
        <v>111.6</v>
      </c>
      <c r="M174" s="3">
        <v>140.6</v>
      </c>
      <c r="N174" s="3">
        <v>137.5</v>
      </c>
      <c r="O174" s="3">
        <v>156.1</v>
      </c>
      <c r="P174" s="3">
        <v>140</v>
      </c>
      <c r="Q174" s="3">
        <v>1787.4999999999995</v>
      </c>
      <c r="R174" s="3">
        <v>161.9</v>
      </c>
      <c r="S174" s="3">
        <v>151.69999999999999</v>
      </c>
      <c r="T174" s="3">
        <v>145.5</v>
      </c>
      <c r="U174" s="3">
        <v>150.80000000000001</v>
      </c>
      <c r="V174" s="3">
        <v>448</v>
      </c>
      <c r="W174" t="s">
        <v>32</v>
      </c>
      <c r="X174" s="3">
        <v>143.80000000000001</v>
      </c>
      <c r="Y174" s="3">
        <v>150.30000000000001</v>
      </c>
      <c r="Z174" s="3">
        <v>148</v>
      </c>
      <c r="AA174" s="3">
        <v>145.4</v>
      </c>
      <c r="AB174" s="3">
        <v>130.30000000000001</v>
      </c>
      <c r="AC174" s="3">
        <v>143.1</v>
      </c>
      <c r="AD174" s="3">
        <v>150.19999999999999</v>
      </c>
      <c r="AE174" s="3">
        <v>133.1</v>
      </c>
      <c r="AF174" s="3">
        <v>140.1</v>
      </c>
      <c r="AG174" s="3">
        <v>694.6</v>
      </c>
      <c r="AH174" s="3">
        <v>142.4</v>
      </c>
      <c r="AI174" s="10" t="str">
        <f t="shared" si="2"/>
        <v>2018 November</v>
      </c>
    </row>
    <row r="175" spans="1:35">
      <c r="A175" t="s">
        <v>33</v>
      </c>
      <c r="B175">
        <v>2018</v>
      </c>
      <c r="C175" t="s">
        <v>45</v>
      </c>
      <c r="D175" s="3">
        <v>138.1</v>
      </c>
      <c r="E175" s="3">
        <v>146.30000000000001</v>
      </c>
      <c r="F175" s="3">
        <v>137.80000000000001</v>
      </c>
      <c r="G175" s="3">
        <v>141.6</v>
      </c>
      <c r="H175" s="3">
        <v>118.1</v>
      </c>
      <c r="I175" s="3">
        <v>141.5</v>
      </c>
      <c r="J175" s="3">
        <v>145.19999999999999</v>
      </c>
      <c r="K175" s="3">
        <v>115.3</v>
      </c>
      <c r="L175" s="3">
        <v>112.5</v>
      </c>
      <c r="M175" s="3">
        <v>141.4</v>
      </c>
      <c r="N175" s="3">
        <v>128</v>
      </c>
      <c r="O175" s="3">
        <v>152.6</v>
      </c>
      <c r="P175" s="3">
        <v>139.1</v>
      </c>
      <c r="Q175" s="3">
        <v>1757.4999999999998</v>
      </c>
      <c r="R175" s="3">
        <v>164.4</v>
      </c>
      <c r="S175" s="3">
        <v>142.4</v>
      </c>
      <c r="T175" s="3">
        <v>130.19999999999999</v>
      </c>
      <c r="U175" s="3">
        <v>140.5</v>
      </c>
      <c r="V175" s="3">
        <v>413.1</v>
      </c>
      <c r="W175">
        <v>146.9</v>
      </c>
      <c r="X175" s="3">
        <v>146.9</v>
      </c>
      <c r="Y175" s="3">
        <v>136.69999999999999</v>
      </c>
      <c r="Z175" s="3">
        <v>135.80000000000001</v>
      </c>
      <c r="AA175" s="3">
        <v>136.80000000000001</v>
      </c>
      <c r="AB175" s="3">
        <v>121.2</v>
      </c>
      <c r="AC175" s="3">
        <v>131.30000000000001</v>
      </c>
      <c r="AD175" s="3">
        <v>146.1</v>
      </c>
      <c r="AE175" s="3">
        <v>130.5</v>
      </c>
      <c r="AF175" s="3">
        <v>132.19999999999999</v>
      </c>
      <c r="AG175" s="3">
        <v>651</v>
      </c>
      <c r="AH175" s="3">
        <v>139</v>
      </c>
      <c r="AI175" s="10" t="str">
        <f t="shared" si="2"/>
        <v>2018 November</v>
      </c>
    </row>
    <row r="176" spans="1:35">
      <c r="A176" t="s">
        <v>30</v>
      </c>
      <c r="B176">
        <v>2018</v>
      </c>
      <c r="C176" t="s">
        <v>38</v>
      </c>
      <c r="D176" s="3">
        <v>137.4</v>
      </c>
      <c r="E176" s="3">
        <v>145.69999999999999</v>
      </c>
      <c r="F176" s="3">
        <v>135.5</v>
      </c>
      <c r="G176" s="3">
        <v>142.9</v>
      </c>
      <c r="H176" s="3">
        <v>123.6</v>
      </c>
      <c r="I176" s="3">
        <v>157.5</v>
      </c>
      <c r="J176" s="3">
        <v>137.80000000000001</v>
      </c>
      <c r="K176" s="3">
        <v>127.2</v>
      </c>
      <c r="L176" s="3">
        <v>111.8</v>
      </c>
      <c r="M176" s="3">
        <v>137.4</v>
      </c>
      <c r="N176" s="3">
        <v>132.19999999999999</v>
      </c>
      <c r="O176" s="3">
        <v>154.30000000000001</v>
      </c>
      <c r="P176" s="3">
        <v>139.1</v>
      </c>
      <c r="Q176" s="3">
        <v>1782.4</v>
      </c>
      <c r="R176" s="3">
        <v>157</v>
      </c>
      <c r="S176" s="3">
        <v>150.80000000000001</v>
      </c>
      <c r="T176" s="3">
        <v>144.1</v>
      </c>
      <c r="U176" s="3">
        <v>149.80000000000001</v>
      </c>
      <c r="V176" s="3">
        <v>444.7</v>
      </c>
      <c r="W176" t="s">
        <v>32</v>
      </c>
      <c r="X176" s="3">
        <v>143.80000000000001</v>
      </c>
      <c r="Y176" s="3">
        <v>144.30000000000001</v>
      </c>
      <c r="Z176" s="3">
        <v>141.80000000000001</v>
      </c>
      <c r="AA176" s="3">
        <v>138.4</v>
      </c>
      <c r="AB176" s="3">
        <v>126.4</v>
      </c>
      <c r="AC176" s="3">
        <v>136.80000000000001</v>
      </c>
      <c r="AD176" s="3">
        <v>144.4</v>
      </c>
      <c r="AE176" s="3">
        <v>131.19999999999999</v>
      </c>
      <c r="AF176" s="3">
        <v>135.1</v>
      </c>
      <c r="AG176" s="3">
        <v>671.30000000000007</v>
      </c>
      <c r="AH176" s="3">
        <v>139.80000000000001</v>
      </c>
      <c r="AI176" s="10" t="str">
        <f t="shared" si="2"/>
        <v>2018 May</v>
      </c>
    </row>
    <row r="177" spans="1:35">
      <c r="A177" t="s">
        <v>33</v>
      </c>
      <c r="B177">
        <v>2018</v>
      </c>
      <c r="C177" t="s">
        <v>38</v>
      </c>
      <c r="D177" s="3">
        <v>135</v>
      </c>
      <c r="E177" s="3">
        <v>148.19999999999999</v>
      </c>
      <c r="F177" s="3">
        <v>130.5</v>
      </c>
      <c r="G177" s="3">
        <v>140.69999999999999</v>
      </c>
      <c r="H177" s="3">
        <v>116.4</v>
      </c>
      <c r="I177" s="3">
        <v>151.30000000000001</v>
      </c>
      <c r="J177" s="3">
        <v>131.4</v>
      </c>
      <c r="K177" s="3">
        <v>112.8</v>
      </c>
      <c r="L177" s="3">
        <v>105.3</v>
      </c>
      <c r="M177" s="3">
        <v>139.6</v>
      </c>
      <c r="N177" s="3">
        <v>126.6</v>
      </c>
      <c r="O177" s="3">
        <v>148.69999999999999</v>
      </c>
      <c r="P177" s="3">
        <v>136.4</v>
      </c>
      <c r="Q177" s="3">
        <v>1722.8999999999999</v>
      </c>
      <c r="R177" s="3">
        <v>160.30000000000001</v>
      </c>
      <c r="S177" s="3">
        <v>138.6</v>
      </c>
      <c r="T177" s="3">
        <v>127.9</v>
      </c>
      <c r="U177" s="3">
        <v>137</v>
      </c>
      <c r="V177" s="3">
        <v>403.5</v>
      </c>
      <c r="W177">
        <v>143.19999999999999</v>
      </c>
      <c r="X177" s="3">
        <v>143.19999999999999</v>
      </c>
      <c r="Y177" s="3">
        <v>124.7</v>
      </c>
      <c r="Z177" s="3">
        <v>132.5</v>
      </c>
      <c r="AA177" s="3">
        <v>132</v>
      </c>
      <c r="AB177" s="3">
        <v>119.8</v>
      </c>
      <c r="AC177" s="3">
        <v>128</v>
      </c>
      <c r="AD177" s="3">
        <v>140.4</v>
      </c>
      <c r="AE177" s="3">
        <v>128.1</v>
      </c>
      <c r="AF177" s="3">
        <v>128.9</v>
      </c>
      <c r="AG177" s="3">
        <v>637.29999999999995</v>
      </c>
      <c r="AH177" s="3">
        <v>135.4</v>
      </c>
      <c r="AI177" s="10" t="str">
        <f t="shared" si="2"/>
        <v>2018 May</v>
      </c>
    </row>
    <row r="178" spans="1:35">
      <c r="A178" t="s">
        <v>30</v>
      </c>
      <c r="B178">
        <v>2018</v>
      </c>
      <c r="C178" t="s">
        <v>36</v>
      </c>
      <c r="D178" s="3">
        <v>136.80000000000001</v>
      </c>
      <c r="E178" s="3">
        <v>143.80000000000001</v>
      </c>
      <c r="F178" s="3">
        <v>140</v>
      </c>
      <c r="G178" s="3">
        <v>142</v>
      </c>
      <c r="H178" s="3">
        <v>123.2</v>
      </c>
      <c r="I178" s="3">
        <v>152.9</v>
      </c>
      <c r="J178" s="3">
        <v>138</v>
      </c>
      <c r="K178" s="3">
        <v>129.30000000000001</v>
      </c>
      <c r="L178" s="3">
        <v>117.1</v>
      </c>
      <c r="M178" s="3">
        <v>136.30000000000001</v>
      </c>
      <c r="N178" s="3">
        <v>131.19999999999999</v>
      </c>
      <c r="O178" s="3">
        <v>152.80000000000001</v>
      </c>
      <c r="P178" s="3">
        <v>138.6</v>
      </c>
      <c r="Q178" s="3">
        <v>1781.9999999999998</v>
      </c>
      <c r="R178" s="3">
        <v>155.1</v>
      </c>
      <c r="S178" s="3">
        <v>149.19999999999999</v>
      </c>
      <c r="T178" s="3">
        <v>143</v>
      </c>
      <c r="U178" s="3">
        <v>148.30000000000001</v>
      </c>
      <c r="V178" s="3">
        <v>440.5</v>
      </c>
      <c r="W178" t="s">
        <v>32</v>
      </c>
      <c r="X178" s="3">
        <v>143.80000000000001</v>
      </c>
      <c r="Y178" s="3">
        <v>142.6</v>
      </c>
      <c r="Z178" s="3">
        <v>139.9</v>
      </c>
      <c r="AA178" s="3">
        <v>136.69999999999999</v>
      </c>
      <c r="AB178" s="3">
        <v>124.6</v>
      </c>
      <c r="AC178" s="3">
        <v>135.1</v>
      </c>
      <c r="AD178" s="3">
        <v>142.69999999999999</v>
      </c>
      <c r="AE178" s="3">
        <v>129.30000000000001</v>
      </c>
      <c r="AF178" s="3">
        <v>133.30000000000001</v>
      </c>
      <c r="AG178" s="3">
        <v>662.2</v>
      </c>
      <c r="AH178" s="3">
        <v>138.69999999999999</v>
      </c>
      <c r="AI178" s="10" t="str">
        <f t="shared" si="2"/>
        <v>2018 March</v>
      </c>
    </row>
    <row r="179" spans="1:35">
      <c r="A179" t="s">
        <v>33</v>
      </c>
      <c r="B179">
        <v>2018</v>
      </c>
      <c r="C179" t="s">
        <v>36</v>
      </c>
      <c r="D179" s="3">
        <v>135</v>
      </c>
      <c r="E179" s="3">
        <v>143.1</v>
      </c>
      <c r="F179" s="3">
        <v>135.5</v>
      </c>
      <c r="G179" s="3">
        <v>139.9</v>
      </c>
      <c r="H179" s="3">
        <v>116.5</v>
      </c>
      <c r="I179" s="3">
        <v>138.5</v>
      </c>
      <c r="J179" s="3">
        <v>128</v>
      </c>
      <c r="K179" s="3">
        <v>115.5</v>
      </c>
      <c r="L179" s="3">
        <v>114.2</v>
      </c>
      <c r="M179" s="3">
        <v>140.69999999999999</v>
      </c>
      <c r="N179" s="3">
        <v>126.2</v>
      </c>
      <c r="O179" s="3">
        <v>147.6</v>
      </c>
      <c r="P179" s="3">
        <v>134.80000000000001</v>
      </c>
      <c r="Q179" s="3">
        <v>1715.5</v>
      </c>
      <c r="R179" s="3">
        <v>159.69999999999999</v>
      </c>
      <c r="S179" s="3">
        <v>136.69999999999999</v>
      </c>
      <c r="T179" s="3">
        <v>126.7</v>
      </c>
      <c r="U179" s="3">
        <v>135.19999999999999</v>
      </c>
      <c r="V179" s="3">
        <v>398.59999999999997</v>
      </c>
      <c r="W179">
        <v>142</v>
      </c>
      <c r="X179" s="3">
        <v>142</v>
      </c>
      <c r="Y179" s="3">
        <v>126.4</v>
      </c>
      <c r="Z179" s="3">
        <v>130.80000000000001</v>
      </c>
      <c r="AA179" s="3">
        <v>130.5</v>
      </c>
      <c r="AB179" s="3">
        <v>117.8</v>
      </c>
      <c r="AC179" s="3">
        <v>126.8</v>
      </c>
      <c r="AD179" s="3">
        <v>137.80000000000001</v>
      </c>
      <c r="AE179" s="3">
        <v>126.7</v>
      </c>
      <c r="AF179" s="3">
        <v>127.1</v>
      </c>
      <c r="AG179" s="3">
        <v>629.20000000000005</v>
      </c>
      <c r="AH179" s="3">
        <v>134</v>
      </c>
      <c r="AI179" s="10" t="str">
        <f t="shared" si="2"/>
        <v>2018 March</v>
      </c>
    </row>
    <row r="180" spans="1:35">
      <c r="A180" t="s">
        <v>30</v>
      </c>
      <c r="B180">
        <v>2018</v>
      </c>
      <c r="C180" t="s">
        <v>39</v>
      </c>
      <c r="D180" s="3">
        <v>137.6</v>
      </c>
      <c r="E180" s="3">
        <v>148.1</v>
      </c>
      <c r="F180" s="3">
        <v>136.69999999999999</v>
      </c>
      <c r="G180" s="3">
        <v>143.19999999999999</v>
      </c>
      <c r="H180" s="3">
        <v>124</v>
      </c>
      <c r="I180" s="3">
        <v>154.1</v>
      </c>
      <c r="J180" s="3">
        <v>143.5</v>
      </c>
      <c r="K180" s="3">
        <v>126</v>
      </c>
      <c r="L180" s="3">
        <v>112.4</v>
      </c>
      <c r="M180" s="3">
        <v>137.6</v>
      </c>
      <c r="N180" s="3">
        <v>132.80000000000001</v>
      </c>
      <c r="O180" s="3">
        <v>154.30000000000001</v>
      </c>
      <c r="P180" s="3">
        <v>140</v>
      </c>
      <c r="Q180" s="3">
        <v>1790.2999999999997</v>
      </c>
      <c r="R180" s="3">
        <v>157.30000000000001</v>
      </c>
      <c r="S180" s="3">
        <v>151.30000000000001</v>
      </c>
      <c r="T180" s="3">
        <v>144.69999999999999</v>
      </c>
      <c r="U180" s="3">
        <v>150.30000000000001</v>
      </c>
      <c r="V180" s="3">
        <v>446.3</v>
      </c>
      <c r="W180" t="s">
        <v>32</v>
      </c>
      <c r="X180" s="3">
        <v>143.80000000000001</v>
      </c>
      <c r="Y180" s="3">
        <v>145.1</v>
      </c>
      <c r="Z180" s="3">
        <v>142.19999999999999</v>
      </c>
      <c r="AA180" s="3">
        <v>138.4</v>
      </c>
      <c r="AB180" s="3">
        <v>127.4</v>
      </c>
      <c r="AC180" s="3">
        <v>137.80000000000001</v>
      </c>
      <c r="AD180" s="3">
        <v>145.1</v>
      </c>
      <c r="AE180" s="3">
        <v>131.4</v>
      </c>
      <c r="AF180" s="3">
        <v>135.6</v>
      </c>
      <c r="AG180" s="3">
        <v>674.40000000000009</v>
      </c>
      <c r="AH180" s="3">
        <v>140.5</v>
      </c>
      <c r="AI180" s="10" t="str">
        <f t="shared" si="2"/>
        <v>2018 June</v>
      </c>
    </row>
    <row r="181" spans="1:35">
      <c r="A181" t="s">
        <v>33</v>
      </c>
      <c r="B181">
        <v>2018</v>
      </c>
      <c r="C181" t="s">
        <v>39</v>
      </c>
      <c r="D181" s="3">
        <v>135.30000000000001</v>
      </c>
      <c r="E181" s="3">
        <v>149.69999999999999</v>
      </c>
      <c r="F181" s="3">
        <v>133.9</v>
      </c>
      <c r="G181" s="3">
        <v>140.80000000000001</v>
      </c>
      <c r="H181" s="3">
        <v>116.6</v>
      </c>
      <c r="I181" s="3">
        <v>152.19999999999999</v>
      </c>
      <c r="J181" s="3">
        <v>144</v>
      </c>
      <c r="K181" s="3">
        <v>112.3</v>
      </c>
      <c r="L181" s="3">
        <v>108.4</v>
      </c>
      <c r="M181" s="3">
        <v>140</v>
      </c>
      <c r="N181" s="3">
        <v>126.7</v>
      </c>
      <c r="O181" s="3">
        <v>149</v>
      </c>
      <c r="P181" s="3">
        <v>138.4</v>
      </c>
      <c r="Q181" s="3">
        <v>1747.3000000000002</v>
      </c>
      <c r="R181" s="3">
        <v>161</v>
      </c>
      <c r="S181" s="3">
        <v>138.9</v>
      </c>
      <c r="T181" s="3">
        <v>128.69999999999999</v>
      </c>
      <c r="U181" s="3">
        <v>137.4</v>
      </c>
      <c r="V181" s="3">
        <v>405</v>
      </c>
      <c r="W181">
        <v>142.5</v>
      </c>
      <c r="X181" s="3">
        <v>142.5</v>
      </c>
      <c r="Y181" s="3">
        <v>126.5</v>
      </c>
      <c r="Z181" s="3">
        <v>133.1</v>
      </c>
      <c r="AA181" s="3">
        <v>132.6</v>
      </c>
      <c r="AB181" s="3">
        <v>120.4</v>
      </c>
      <c r="AC181" s="3">
        <v>128.5</v>
      </c>
      <c r="AD181" s="3">
        <v>141.19999999999999</v>
      </c>
      <c r="AE181" s="3">
        <v>128.19999999999999</v>
      </c>
      <c r="AF181" s="3">
        <v>129.5</v>
      </c>
      <c r="AG181" s="3">
        <v>639.70000000000005</v>
      </c>
      <c r="AH181" s="3">
        <v>136.19999999999999</v>
      </c>
      <c r="AI181" s="10" t="str">
        <f t="shared" si="2"/>
        <v>2018 June</v>
      </c>
    </row>
    <row r="182" spans="1:35">
      <c r="A182" t="s">
        <v>30</v>
      </c>
      <c r="B182">
        <v>2018</v>
      </c>
      <c r="C182" t="s">
        <v>40</v>
      </c>
      <c r="D182" s="3">
        <v>138.4</v>
      </c>
      <c r="E182" s="3">
        <v>149.30000000000001</v>
      </c>
      <c r="F182" s="3">
        <v>139.30000000000001</v>
      </c>
      <c r="G182" s="3">
        <v>143.4</v>
      </c>
      <c r="H182" s="3">
        <v>124.1</v>
      </c>
      <c r="I182" s="3">
        <v>153.30000000000001</v>
      </c>
      <c r="J182" s="3">
        <v>154.19999999999999</v>
      </c>
      <c r="K182" s="3">
        <v>126.4</v>
      </c>
      <c r="L182" s="3">
        <v>114.3</v>
      </c>
      <c r="M182" s="3">
        <v>138.19999999999999</v>
      </c>
      <c r="N182" s="3">
        <v>132.80000000000001</v>
      </c>
      <c r="O182" s="3">
        <v>154.80000000000001</v>
      </c>
      <c r="P182" s="3">
        <v>142</v>
      </c>
      <c r="Q182" s="3">
        <v>1810.5000000000002</v>
      </c>
      <c r="R182" s="3">
        <v>156.1</v>
      </c>
      <c r="S182" s="3">
        <v>151.5</v>
      </c>
      <c r="T182" s="3">
        <v>145.1</v>
      </c>
      <c r="U182" s="3">
        <v>150.6</v>
      </c>
      <c r="V182" s="3">
        <v>447.20000000000005</v>
      </c>
      <c r="W182" t="s">
        <v>32</v>
      </c>
      <c r="X182" s="3">
        <v>143.80000000000001</v>
      </c>
      <c r="Y182" s="3">
        <v>146.80000000000001</v>
      </c>
      <c r="Z182" s="3">
        <v>143.1</v>
      </c>
      <c r="AA182" s="3">
        <v>139</v>
      </c>
      <c r="AB182" s="3">
        <v>127.5</v>
      </c>
      <c r="AC182" s="3">
        <v>138.4</v>
      </c>
      <c r="AD182" s="3">
        <v>145.80000000000001</v>
      </c>
      <c r="AE182" s="3">
        <v>131.4</v>
      </c>
      <c r="AF182" s="3">
        <v>136</v>
      </c>
      <c r="AG182" s="3">
        <v>676.4</v>
      </c>
      <c r="AH182" s="3">
        <v>141.80000000000001</v>
      </c>
      <c r="AI182" s="10" t="str">
        <f t="shared" si="2"/>
        <v>2018 July</v>
      </c>
    </row>
    <row r="183" spans="1:35">
      <c r="A183" t="s">
        <v>33</v>
      </c>
      <c r="B183">
        <v>2018</v>
      </c>
      <c r="C183" t="s">
        <v>40</v>
      </c>
      <c r="D183" s="3">
        <v>135.6</v>
      </c>
      <c r="E183" s="3">
        <v>148.6</v>
      </c>
      <c r="F183" s="3">
        <v>139.1</v>
      </c>
      <c r="G183" s="3">
        <v>141</v>
      </c>
      <c r="H183" s="3">
        <v>116.7</v>
      </c>
      <c r="I183" s="3">
        <v>149.69999999999999</v>
      </c>
      <c r="J183" s="3">
        <v>159.19999999999999</v>
      </c>
      <c r="K183" s="3">
        <v>112.6</v>
      </c>
      <c r="L183" s="3">
        <v>111.8</v>
      </c>
      <c r="M183" s="3">
        <v>140.30000000000001</v>
      </c>
      <c r="N183" s="3">
        <v>126.8</v>
      </c>
      <c r="O183" s="3">
        <v>149.4</v>
      </c>
      <c r="P183" s="3">
        <v>140.30000000000001</v>
      </c>
      <c r="Q183" s="3">
        <v>1771.1</v>
      </c>
      <c r="R183" s="3">
        <v>161.4</v>
      </c>
      <c r="S183" s="3">
        <v>139.6</v>
      </c>
      <c r="T183" s="3">
        <v>128.9</v>
      </c>
      <c r="U183" s="3">
        <v>137.9</v>
      </c>
      <c r="V183" s="3">
        <v>406.4</v>
      </c>
      <c r="W183">
        <v>143.6</v>
      </c>
      <c r="X183" s="3">
        <v>143.6</v>
      </c>
      <c r="Y183" s="3">
        <v>128.1</v>
      </c>
      <c r="Z183" s="3">
        <v>133.6</v>
      </c>
      <c r="AA183" s="3">
        <v>133.6</v>
      </c>
      <c r="AB183" s="3">
        <v>120.1</v>
      </c>
      <c r="AC183" s="3">
        <v>129</v>
      </c>
      <c r="AD183" s="3">
        <v>144</v>
      </c>
      <c r="AE183" s="3">
        <v>128.19999999999999</v>
      </c>
      <c r="AF183" s="3">
        <v>130.19999999999999</v>
      </c>
      <c r="AG183" s="3">
        <v>641.09999999999991</v>
      </c>
      <c r="AH183" s="3">
        <v>137.5</v>
      </c>
      <c r="AI183" s="10" t="str">
        <f t="shared" si="2"/>
        <v>2018 July</v>
      </c>
    </row>
    <row r="184" spans="1:35">
      <c r="A184" t="s">
        <v>30</v>
      </c>
      <c r="B184">
        <v>2018</v>
      </c>
      <c r="C184" t="s">
        <v>31</v>
      </c>
      <c r="D184" s="3">
        <v>136.6</v>
      </c>
      <c r="E184" s="3">
        <v>144.4</v>
      </c>
      <c r="F184" s="3">
        <v>143.80000000000001</v>
      </c>
      <c r="G184" s="3">
        <v>142</v>
      </c>
      <c r="H184" s="3">
        <v>123.2</v>
      </c>
      <c r="I184" s="3">
        <v>147.9</v>
      </c>
      <c r="J184" s="3">
        <v>152.1</v>
      </c>
      <c r="K184" s="3">
        <v>131.80000000000001</v>
      </c>
      <c r="L184" s="3">
        <v>119.5</v>
      </c>
      <c r="M184" s="3">
        <v>136</v>
      </c>
      <c r="N184" s="3">
        <v>131.19999999999999</v>
      </c>
      <c r="O184" s="3">
        <v>151.80000000000001</v>
      </c>
      <c r="P184" s="3">
        <v>140.4</v>
      </c>
      <c r="Q184" s="3">
        <v>1800.7</v>
      </c>
      <c r="R184" s="3">
        <v>153.6</v>
      </c>
      <c r="S184" s="3">
        <v>148.30000000000001</v>
      </c>
      <c r="T184" s="3">
        <v>142.30000000000001</v>
      </c>
      <c r="U184" s="3">
        <v>147.5</v>
      </c>
      <c r="V184" s="3">
        <v>438.1</v>
      </c>
      <c r="W184" t="s">
        <v>32</v>
      </c>
      <c r="X184" s="3">
        <v>143.80000000000001</v>
      </c>
      <c r="Y184" s="3">
        <v>142.30000000000001</v>
      </c>
      <c r="Z184" s="3">
        <v>139.80000000000001</v>
      </c>
      <c r="AA184" s="3">
        <v>136</v>
      </c>
      <c r="AB184" s="3">
        <v>122.7</v>
      </c>
      <c r="AC184" s="3">
        <v>134.30000000000001</v>
      </c>
      <c r="AD184" s="3">
        <v>141.6</v>
      </c>
      <c r="AE184" s="3">
        <v>128.6</v>
      </c>
      <c r="AF184" s="3">
        <v>132.30000000000001</v>
      </c>
      <c r="AG184" s="3">
        <v>657.7</v>
      </c>
      <c r="AH184" s="3">
        <v>139.30000000000001</v>
      </c>
      <c r="AI184" s="10" t="str">
        <f t="shared" si="2"/>
        <v>2018 January</v>
      </c>
    </row>
    <row r="185" spans="1:35">
      <c r="A185" t="s">
        <v>33</v>
      </c>
      <c r="B185">
        <v>2018</v>
      </c>
      <c r="C185" t="s">
        <v>31</v>
      </c>
      <c r="D185" s="3">
        <v>134.6</v>
      </c>
      <c r="E185" s="3">
        <v>143.69999999999999</v>
      </c>
      <c r="F185" s="3">
        <v>143.6</v>
      </c>
      <c r="G185" s="3">
        <v>139.6</v>
      </c>
      <c r="H185" s="3">
        <v>116.4</v>
      </c>
      <c r="I185" s="3">
        <v>133.80000000000001</v>
      </c>
      <c r="J185" s="3">
        <v>150.5</v>
      </c>
      <c r="K185" s="3">
        <v>118.4</v>
      </c>
      <c r="L185" s="3">
        <v>117.3</v>
      </c>
      <c r="M185" s="3">
        <v>140.5</v>
      </c>
      <c r="N185" s="3">
        <v>125.9</v>
      </c>
      <c r="O185" s="3">
        <v>146.80000000000001</v>
      </c>
      <c r="P185" s="3">
        <v>137.19999999999999</v>
      </c>
      <c r="Q185" s="3">
        <v>1748.3000000000002</v>
      </c>
      <c r="R185" s="3">
        <v>157.69999999999999</v>
      </c>
      <c r="S185" s="3">
        <v>136</v>
      </c>
      <c r="T185" s="3">
        <v>125.9</v>
      </c>
      <c r="U185" s="3">
        <v>134.4</v>
      </c>
      <c r="V185" s="3">
        <v>396.29999999999995</v>
      </c>
      <c r="W185">
        <v>140.4</v>
      </c>
      <c r="X185" s="3">
        <v>140.4</v>
      </c>
      <c r="Y185" s="3">
        <v>127.3</v>
      </c>
      <c r="Z185" s="3">
        <v>129.5</v>
      </c>
      <c r="AA185" s="3">
        <v>129</v>
      </c>
      <c r="AB185" s="3">
        <v>116.3</v>
      </c>
      <c r="AC185" s="3">
        <v>126.2</v>
      </c>
      <c r="AD185" s="3">
        <v>137.1</v>
      </c>
      <c r="AE185" s="3">
        <v>125.5</v>
      </c>
      <c r="AF185" s="3">
        <v>125.8</v>
      </c>
      <c r="AG185" s="3">
        <v>623.29999999999995</v>
      </c>
      <c r="AH185" s="3">
        <v>134.1</v>
      </c>
      <c r="AI185" s="10" t="str">
        <f t="shared" si="2"/>
        <v>2018 January</v>
      </c>
    </row>
    <row r="186" spans="1:35">
      <c r="A186" t="s">
        <v>30</v>
      </c>
      <c r="B186">
        <v>2018</v>
      </c>
      <c r="C186" t="s">
        <v>35</v>
      </c>
      <c r="D186" s="3">
        <v>136.4</v>
      </c>
      <c r="E186" s="3">
        <v>143.69999999999999</v>
      </c>
      <c r="F186" s="3">
        <v>140.6</v>
      </c>
      <c r="G186" s="3">
        <v>141.5</v>
      </c>
      <c r="H186" s="3">
        <v>122.9</v>
      </c>
      <c r="I186" s="3">
        <v>149.4</v>
      </c>
      <c r="J186" s="3">
        <v>142.4</v>
      </c>
      <c r="K186" s="3">
        <v>130.19999999999999</v>
      </c>
      <c r="L186" s="3">
        <v>117.9</v>
      </c>
      <c r="M186" s="3">
        <v>135.6</v>
      </c>
      <c r="N186" s="3">
        <v>130.5</v>
      </c>
      <c r="O186" s="3">
        <v>151.69999999999999</v>
      </c>
      <c r="P186" s="3">
        <v>138.69999999999999</v>
      </c>
      <c r="Q186" s="3">
        <v>1781.5</v>
      </c>
      <c r="R186" s="3">
        <v>153.30000000000001</v>
      </c>
      <c r="S186" s="3">
        <v>148.69999999999999</v>
      </c>
      <c r="T186" s="3">
        <v>142.4</v>
      </c>
      <c r="U186" s="3">
        <v>147.80000000000001</v>
      </c>
      <c r="V186" s="3">
        <v>438.90000000000003</v>
      </c>
      <c r="W186" t="s">
        <v>32</v>
      </c>
      <c r="X186" s="3">
        <v>143.80000000000001</v>
      </c>
      <c r="Y186" s="3">
        <v>142.4</v>
      </c>
      <c r="Z186" s="3">
        <v>139.9</v>
      </c>
      <c r="AA186" s="3">
        <v>136.19999999999999</v>
      </c>
      <c r="AB186" s="3">
        <v>123.3</v>
      </c>
      <c r="AC186" s="3">
        <v>134.30000000000001</v>
      </c>
      <c r="AD186" s="3">
        <v>141.5</v>
      </c>
      <c r="AE186" s="3">
        <v>128.80000000000001</v>
      </c>
      <c r="AF186" s="3">
        <v>132.5</v>
      </c>
      <c r="AG186" s="3">
        <v>658.8</v>
      </c>
      <c r="AH186" s="3">
        <v>138.5</v>
      </c>
      <c r="AI186" s="10" t="str">
        <f t="shared" si="2"/>
        <v>2018 February</v>
      </c>
    </row>
    <row r="187" spans="1:35">
      <c r="A187" t="s">
        <v>33</v>
      </c>
      <c r="B187">
        <v>2018</v>
      </c>
      <c r="C187" t="s">
        <v>35</v>
      </c>
      <c r="D187" s="3">
        <v>134.80000000000001</v>
      </c>
      <c r="E187" s="3">
        <v>143</v>
      </c>
      <c r="F187" s="3">
        <v>139.9</v>
      </c>
      <c r="G187" s="3">
        <v>139.9</v>
      </c>
      <c r="H187" s="3">
        <v>116.2</v>
      </c>
      <c r="I187" s="3">
        <v>135.5</v>
      </c>
      <c r="J187" s="3">
        <v>136.9</v>
      </c>
      <c r="K187" s="3">
        <v>117</v>
      </c>
      <c r="L187" s="3">
        <v>115.4</v>
      </c>
      <c r="M187" s="3">
        <v>140.69999999999999</v>
      </c>
      <c r="N187" s="3">
        <v>125.9</v>
      </c>
      <c r="O187" s="3">
        <v>147.1</v>
      </c>
      <c r="P187" s="3">
        <v>135.6</v>
      </c>
      <c r="Q187" s="3">
        <v>1727.9</v>
      </c>
      <c r="R187" s="3">
        <v>159.30000000000001</v>
      </c>
      <c r="S187" s="3">
        <v>136.30000000000001</v>
      </c>
      <c r="T187" s="3">
        <v>126.1</v>
      </c>
      <c r="U187" s="3">
        <v>134.69999999999999</v>
      </c>
      <c r="V187" s="3">
        <v>397.09999999999997</v>
      </c>
      <c r="W187">
        <v>141.30000000000001</v>
      </c>
      <c r="X187" s="3">
        <v>141.30000000000001</v>
      </c>
      <c r="Y187" s="3">
        <v>127.3</v>
      </c>
      <c r="Z187" s="3">
        <v>129.9</v>
      </c>
      <c r="AA187" s="3">
        <v>129.80000000000001</v>
      </c>
      <c r="AB187" s="3">
        <v>117.4</v>
      </c>
      <c r="AC187" s="3">
        <v>126.5</v>
      </c>
      <c r="AD187" s="3">
        <v>137.19999999999999</v>
      </c>
      <c r="AE187" s="3">
        <v>126.2</v>
      </c>
      <c r="AF187" s="3">
        <v>126.5</v>
      </c>
      <c r="AG187" s="3">
        <v>626.5</v>
      </c>
      <c r="AH187" s="3">
        <v>134</v>
      </c>
      <c r="AI187" s="10" t="str">
        <f t="shared" si="2"/>
        <v>2018 February</v>
      </c>
    </row>
    <row r="188" spans="1:35">
      <c r="A188" t="s">
        <v>30</v>
      </c>
      <c r="B188">
        <v>2018</v>
      </c>
      <c r="C188" t="s">
        <v>46</v>
      </c>
      <c r="D188" s="3">
        <v>137.1</v>
      </c>
      <c r="E188" s="3">
        <v>151.9</v>
      </c>
      <c r="F188" s="3">
        <v>137.4</v>
      </c>
      <c r="G188" s="3">
        <v>142.4</v>
      </c>
      <c r="H188" s="3">
        <v>124.2</v>
      </c>
      <c r="I188" s="3">
        <v>140.19999999999999</v>
      </c>
      <c r="J188" s="3">
        <v>136.6</v>
      </c>
      <c r="K188" s="3">
        <v>120.9</v>
      </c>
      <c r="L188" s="3">
        <v>109.9</v>
      </c>
      <c r="M188" s="3">
        <v>140.19999999999999</v>
      </c>
      <c r="N188" s="3">
        <v>137.80000000000001</v>
      </c>
      <c r="O188" s="3">
        <v>156</v>
      </c>
      <c r="P188" s="3">
        <v>138.5</v>
      </c>
      <c r="Q188" s="3">
        <v>1773.1000000000001</v>
      </c>
      <c r="R188" s="3">
        <v>162.4</v>
      </c>
      <c r="S188" s="3">
        <v>151.6</v>
      </c>
      <c r="T188" s="3">
        <v>145.9</v>
      </c>
      <c r="U188" s="3">
        <v>150.80000000000001</v>
      </c>
      <c r="V188" s="3">
        <v>448.3</v>
      </c>
      <c r="W188" t="s">
        <v>32</v>
      </c>
      <c r="X188" s="3">
        <v>143.80000000000001</v>
      </c>
      <c r="Y188" s="3">
        <v>149</v>
      </c>
      <c r="Z188" s="3">
        <v>149.5</v>
      </c>
      <c r="AA188" s="3">
        <v>149.6</v>
      </c>
      <c r="AB188" s="3">
        <v>128.9</v>
      </c>
      <c r="AC188" s="3">
        <v>143.30000000000001</v>
      </c>
      <c r="AD188" s="3">
        <v>155.1</v>
      </c>
      <c r="AE188" s="3">
        <v>133.19999999999999</v>
      </c>
      <c r="AF188" s="3">
        <v>141.6</v>
      </c>
      <c r="AG188" s="3">
        <v>696.5</v>
      </c>
      <c r="AH188" s="3">
        <v>141.9</v>
      </c>
      <c r="AI188" s="10" t="str">
        <f t="shared" si="2"/>
        <v>2018 December</v>
      </c>
    </row>
    <row r="189" spans="1:35">
      <c r="A189" t="s">
        <v>33</v>
      </c>
      <c r="B189">
        <v>2018</v>
      </c>
      <c r="C189" t="s">
        <v>46</v>
      </c>
      <c r="D189" s="3">
        <v>138.5</v>
      </c>
      <c r="E189" s="3">
        <v>147.80000000000001</v>
      </c>
      <c r="F189" s="3">
        <v>141.1</v>
      </c>
      <c r="G189" s="3">
        <v>141.6</v>
      </c>
      <c r="H189" s="3">
        <v>118.1</v>
      </c>
      <c r="I189" s="3">
        <v>138.5</v>
      </c>
      <c r="J189" s="3">
        <v>132.4</v>
      </c>
      <c r="K189" s="3">
        <v>117.5</v>
      </c>
      <c r="L189" s="3">
        <v>111</v>
      </c>
      <c r="M189" s="3">
        <v>141.5</v>
      </c>
      <c r="N189" s="3">
        <v>128.1</v>
      </c>
      <c r="O189" s="3">
        <v>152.9</v>
      </c>
      <c r="P189" s="3">
        <v>137.6</v>
      </c>
      <c r="Q189" s="3">
        <v>1746.6</v>
      </c>
      <c r="R189" s="3">
        <v>164.6</v>
      </c>
      <c r="S189" s="3">
        <v>142.69999999999999</v>
      </c>
      <c r="T189" s="3">
        <v>130.30000000000001</v>
      </c>
      <c r="U189" s="3">
        <v>140.80000000000001</v>
      </c>
      <c r="V189" s="3">
        <v>413.8</v>
      </c>
      <c r="W189">
        <v>146.5</v>
      </c>
      <c r="X189" s="3">
        <v>146.5</v>
      </c>
      <c r="Y189" s="3">
        <v>132.4</v>
      </c>
      <c r="Z189" s="3">
        <v>136.19999999999999</v>
      </c>
      <c r="AA189" s="3">
        <v>137.30000000000001</v>
      </c>
      <c r="AB189" s="3">
        <v>118.8</v>
      </c>
      <c r="AC189" s="3">
        <v>131.69999999999999</v>
      </c>
      <c r="AD189" s="3">
        <v>146.5</v>
      </c>
      <c r="AE189" s="3">
        <v>130.80000000000001</v>
      </c>
      <c r="AF189" s="3">
        <v>131.69999999999999</v>
      </c>
      <c r="AG189" s="3">
        <v>649.20000000000005</v>
      </c>
      <c r="AH189" s="3">
        <v>138</v>
      </c>
      <c r="AI189" s="10" t="str">
        <f t="shared" si="2"/>
        <v>2018 December</v>
      </c>
    </row>
    <row r="190" spans="1:35">
      <c r="A190" t="s">
        <v>30</v>
      </c>
      <c r="B190">
        <v>2018</v>
      </c>
      <c r="C190" t="s">
        <v>41</v>
      </c>
      <c r="D190" s="3">
        <v>139.19999999999999</v>
      </c>
      <c r="E190" s="3">
        <v>148.80000000000001</v>
      </c>
      <c r="F190" s="3">
        <v>139.1</v>
      </c>
      <c r="G190" s="3">
        <v>143.5</v>
      </c>
      <c r="H190" s="3">
        <v>125</v>
      </c>
      <c r="I190" s="3">
        <v>154.4</v>
      </c>
      <c r="J190" s="3">
        <v>156.30000000000001</v>
      </c>
      <c r="K190" s="3">
        <v>126.8</v>
      </c>
      <c r="L190" s="3">
        <v>115.4</v>
      </c>
      <c r="M190" s="3">
        <v>138.6</v>
      </c>
      <c r="N190" s="3">
        <v>133.80000000000001</v>
      </c>
      <c r="O190" s="3">
        <v>155.19999999999999</v>
      </c>
      <c r="P190" s="3">
        <v>142.69999999999999</v>
      </c>
      <c r="Q190" s="3">
        <v>1818.8</v>
      </c>
      <c r="R190" s="3">
        <v>156.4</v>
      </c>
      <c r="S190" s="3">
        <v>152.1</v>
      </c>
      <c r="T190" s="3">
        <v>145.80000000000001</v>
      </c>
      <c r="U190" s="3">
        <v>151.30000000000001</v>
      </c>
      <c r="V190" s="3">
        <v>449.2</v>
      </c>
      <c r="W190" t="s">
        <v>32</v>
      </c>
      <c r="X190" s="3">
        <v>143.80000000000001</v>
      </c>
      <c r="Y190" s="3">
        <v>147.69999999999999</v>
      </c>
      <c r="Z190" s="3">
        <v>143.80000000000001</v>
      </c>
      <c r="AA190" s="3">
        <v>139.4</v>
      </c>
      <c r="AB190" s="3">
        <v>128.30000000000001</v>
      </c>
      <c r="AC190" s="3">
        <v>138.6</v>
      </c>
      <c r="AD190" s="3">
        <v>146.9</v>
      </c>
      <c r="AE190" s="3">
        <v>131.30000000000001</v>
      </c>
      <c r="AF190" s="3">
        <v>136.6</v>
      </c>
      <c r="AG190" s="3">
        <v>678.6</v>
      </c>
      <c r="AH190" s="3">
        <v>142.5</v>
      </c>
      <c r="AI190" s="10" t="str">
        <f t="shared" si="2"/>
        <v>2018 August</v>
      </c>
    </row>
    <row r="191" spans="1:35">
      <c r="A191" t="s">
        <v>33</v>
      </c>
      <c r="B191">
        <v>2018</v>
      </c>
      <c r="C191" t="s">
        <v>41</v>
      </c>
      <c r="D191" s="3">
        <v>136.5</v>
      </c>
      <c r="E191" s="3">
        <v>146.4</v>
      </c>
      <c r="F191" s="3">
        <v>136.6</v>
      </c>
      <c r="G191" s="3">
        <v>141.19999999999999</v>
      </c>
      <c r="H191" s="3">
        <v>117.4</v>
      </c>
      <c r="I191" s="3">
        <v>146.30000000000001</v>
      </c>
      <c r="J191" s="3">
        <v>157.30000000000001</v>
      </c>
      <c r="K191" s="3">
        <v>113.6</v>
      </c>
      <c r="L191" s="3">
        <v>113.3</v>
      </c>
      <c r="M191" s="3">
        <v>141.1</v>
      </c>
      <c r="N191" s="3">
        <v>127.4</v>
      </c>
      <c r="O191" s="3">
        <v>150.4</v>
      </c>
      <c r="P191" s="3">
        <v>140.1</v>
      </c>
      <c r="Q191" s="3">
        <v>1767.6</v>
      </c>
      <c r="R191" s="3">
        <v>162.1</v>
      </c>
      <c r="S191" s="3">
        <v>140</v>
      </c>
      <c r="T191" s="3">
        <v>129</v>
      </c>
      <c r="U191" s="3">
        <v>138.30000000000001</v>
      </c>
      <c r="V191" s="3">
        <v>407.3</v>
      </c>
      <c r="W191">
        <v>144.6</v>
      </c>
      <c r="X191" s="3">
        <v>144.6</v>
      </c>
      <c r="Y191" s="3">
        <v>129.80000000000001</v>
      </c>
      <c r="Z191" s="3">
        <v>134.4</v>
      </c>
      <c r="AA191" s="3">
        <v>134.9</v>
      </c>
      <c r="AB191" s="3">
        <v>120.7</v>
      </c>
      <c r="AC191" s="3">
        <v>129.80000000000001</v>
      </c>
      <c r="AD191" s="3">
        <v>145.30000000000001</v>
      </c>
      <c r="AE191" s="3">
        <v>128.30000000000001</v>
      </c>
      <c r="AF191" s="3">
        <v>131</v>
      </c>
      <c r="AG191" s="3">
        <v>644.20000000000005</v>
      </c>
      <c r="AH191" s="3">
        <v>138</v>
      </c>
      <c r="AI191" s="10" t="str">
        <f t="shared" si="2"/>
        <v>2018 August</v>
      </c>
    </row>
    <row r="192" spans="1:35">
      <c r="A192" t="s">
        <v>30</v>
      </c>
      <c r="B192">
        <v>2018</v>
      </c>
      <c r="C192" t="s">
        <v>37</v>
      </c>
      <c r="D192" s="3">
        <v>137.1</v>
      </c>
      <c r="E192" s="3">
        <v>144.5</v>
      </c>
      <c r="F192" s="3">
        <v>135.9</v>
      </c>
      <c r="G192" s="3">
        <v>142.4</v>
      </c>
      <c r="H192" s="3">
        <v>123.5</v>
      </c>
      <c r="I192" s="3">
        <v>156.4</v>
      </c>
      <c r="J192" s="3">
        <v>135.1</v>
      </c>
      <c r="K192" s="3">
        <v>128.4</v>
      </c>
      <c r="L192" s="3">
        <v>115.2</v>
      </c>
      <c r="M192" s="3">
        <v>137.19999999999999</v>
      </c>
      <c r="N192" s="3">
        <v>131.9</v>
      </c>
      <c r="O192" s="3">
        <v>153.80000000000001</v>
      </c>
      <c r="P192" s="3">
        <v>138.6</v>
      </c>
      <c r="Q192" s="3">
        <v>1780</v>
      </c>
      <c r="R192" s="3">
        <v>156.1</v>
      </c>
      <c r="S192" s="3">
        <v>150.1</v>
      </c>
      <c r="T192" s="3">
        <v>143.30000000000001</v>
      </c>
      <c r="U192" s="3">
        <v>149.1</v>
      </c>
      <c r="V192" s="3">
        <v>442.5</v>
      </c>
      <c r="W192" t="s">
        <v>32</v>
      </c>
      <c r="X192" s="3">
        <v>143.80000000000001</v>
      </c>
      <c r="Y192" s="3">
        <v>143.80000000000001</v>
      </c>
      <c r="Z192" s="3">
        <v>140.9</v>
      </c>
      <c r="AA192" s="3">
        <v>137.6</v>
      </c>
      <c r="AB192" s="3">
        <v>125.3</v>
      </c>
      <c r="AC192" s="3">
        <v>136</v>
      </c>
      <c r="AD192" s="3">
        <v>143.69999999999999</v>
      </c>
      <c r="AE192" s="3">
        <v>130.4</v>
      </c>
      <c r="AF192" s="3">
        <v>134.19999999999999</v>
      </c>
      <c r="AG192" s="3">
        <v>666.8</v>
      </c>
      <c r="AH192" s="3">
        <v>139.1</v>
      </c>
      <c r="AI192" s="10" t="str">
        <f t="shared" si="2"/>
        <v>2018 April</v>
      </c>
    </row>
    <row r="193" spans="1:35">
      <c r="A193" t="s">
        <v>33</v>
      </c>
      <c r="B193">
        <v>2018</v>
      </c>
      <c r="C193" t="s">
        <v>37</v>
      </c>
      <c r="D193" s="3">
        <v>135</v>
      </c>
      <c r="E193" s="3">
        <v>144.30000000000001</v>
      </c>
      <c r="F193" s="3">
        <v>130.80000000000001</v>
      </c>
      <c r="G193" s="3">
        <v>140.30000000000001</v>
      </c>
      <c r="H193" s="3">
        <v>116.6</v>
      </c>
      <c r="I193" s="3">
        <v>150.1</v>
      </c>
      <c r="J193" s="3">
        <v>127.6</v>
      </c>
      <c r="K193" s="3">
        <v>114</v>
      </c>
      <c r="L193" s="3">
        <v>110.6</v>
      </c>
      <c r="M193" s="3">
        <v>140.19999999999999</v>
      </c>
      <c r="N193" s="3">
        <v>126.5</v>
      </c>
      <c r="O193" s="3">
        <v>148.30000000000001</v>
      </c>
      <c r="P193" s="3">
        <v>135.69999999999999</v>
      </c>
      <c r="Q193" s="3">
        <v>1720.0000000000002</v>
      </c>
      <c r="R193" s="3">
        <v>159.19999999999999</v>
      </c>
      <c r="S193" s="3">
        <v>137.80000000000001</v>
      </c>
      <c r="T193" s="3">
        <v>127.4</v>
      </c>
      <c r="U193" s="3">
        <v>136.19999999999999</v>
      </c>
      <c r="V193" s="3">
        <v>401.40000000000003</v>
      </c>
      <c r="W193">
        <v>142.9</v>
      </c>
      <c r="X193" s="3">
        <v>142.9</v>
      </c>
      <c r="Y193" s="3">
        <v>124.6</v>
      </c>
      <c r="Z193" s="3">
        <v>131.80000000000001</v>
      </c>
      <c r="AA193" s="3">
        <v>131.30000000000001</v>
      </c>
      <c r="AB193" s="3">
        <v>118.9</v>
      </c>
      <c r="AC193" s="3">
        <v>127.6</v>
      </c>
      <c r="AD193" s="3">
        <v>139.69999999999999</v>
      </c>
      <c r="AE193" s="3">
        <v>127.6</v>
      </c>
      <c r="AF193" s="3">
        <v>128.19999999999999</v>
      </c>
      <c r="AG193" s="3">
        <v>634.09999999999991</v>
      </c>
      <c r="AH193" s="3">
        <v>134.80000000000001</v>
      </c>
      <c r="AI193" s="10" t="str">
        <f t="shared" si="2"/>
        <v>2018 April</v>
      </c>
    </row>
    <row r="194" spans="1:35">
      <c r="A194" t="s">
        <v>34</v>
      </c>
      <c r="B194">
        <v>2017</v>
      </c>
      <c r="C194" t="s">
        <v>42</v>
      </c>
      <c r="D194" s="3">
        <v>134.69999999999999</v>
      </c>
      <c r="E194" s="3">
        <v>142.4</v>
      </c>
      <c r="F194" s="3">
        <v>130.19999999999999</v>
      </c>
      <c r="G194" s="3">
        <v>139.6</v>
      </c>
      <c r="H194" s="3">
        <v>118.4</v>
      </c>
      <c r="I194" s="3">
        <v>143</v>
      </c>
      <c r="J194" s="3">
        <v>156.6</v>
      </c>
      <c r="K194" s="3">
        <v>132.9</v>
      </c>
      <c r="L194" s="3">
        <v>121.5</v>
      </c>
      <c r="M194" s="3">
        <v>135.6</v>
      </c>
      <c r="N194" s="3">
        <v>128.80000000000001</v>
      </c>
      <c r="O194" s="3">
        <v>147.30000000000001</v>
      </c>
      <c r="P194" s="3">
        <v>139</v>
      </c>
      <c r="Q194" s="3">
        <v>1769.9999999999998</v>
      </c>
      <c r="R194" s="3">
        <v>150.80000000000001</v>
      </c>
      <c r="S194" s="3">
        <v>141.1</v>
      </c>
      <c r="T194" s="3">
        <v>133.4</v>
      </c>
      <c r="U194" s="3">
        <v>140</v>
      </c>
      <c r="V194" s="3">
        <v>414.5</v>
      </c>
      <c r="W194">
        <v>135.69999999999999</v>
      </c>
      <c r="X194" s="3">
        <v>135.69999999999999</v>
      </c>
      <c r="Y194" s="3">
        <v>131</v>
      </c>
      <c r="Z194" s="3">
        <v>133.30000000000001</v>
      </c>
      <c r="AA194" s="3">
        <v>130.6</v>
      </c>
      <c r="AB194" s="3">
        <v>118.3</v>
      </c>
      <c r="AC194" s="3">
        <v>127.9</v>
      </c>
      <c r="AD194" s="3">
        <v>137.4</v>
      </c>
      <c r="AE194" s="3">
        <v>125.7</v>
      </c>
      <c r="AF194" s="3">
        <v>127.5</v>
      </c>
      <c r="AG194" s="3">
        <v>632.70000000000005</v>
      </c>
      <c r="AH194" s="3">
        <v>135.19999999999999</v>
      </c>
      <c r="AI194" s="10" t="str">
        <f t="shared" ref="AI194:AI257" si="3">CONCATENATE(B194," ",C194)</f>
        <v>2017 September</v>
      </c>
    </row>
    <row r="195" spans="1:35">
      <c r="A195" t="s">
        <v>34</v>
      </c>
      <c r="B195">
        <v>2017</v>
      </c>
      <c r="C195" t="s">
        <v>43</v>
      </c>
      <c r="D195" s="3">
        <v>135.30000000000001</v>
      </c>
      <c r="E195" s="3">
        <v>142.19999999999999</v>
      </c>
      <c r="F195" s="3">
        <v>131.19999999999999</v>
      </c>
      <c r="G195" s="3">
        <v>140.6</v>
      </c>
      <c r="H195" s="3">
        <v>119</v>
      </c>
      <c r="I195" s="3">
        <v>141.5</v>
      </c>
      <c r="J195" s="3">
        <v>162.6</v>
      </c>
      <c r="K195" s="3">
        <v>132.30000000000001</v>
      </c>
      <c r="L195" s="3">
        <v>121.8</v>
      </c>
      <c r="M195" s="3">
        <v>136.30000000000001</v>
      </c>
      <c r="N195" s="3">
        <v>128.69999999999999</v>
      </c>
      <c r="O195" s="3">
        <v>148.1</v>
      </c>
      <c r="P195" s="3">
        <v>140.1</v>
      </c>
      <c r="Q195" s="3">
        <v>1779.6999999999998</v>
      </c>
      <c r="R195" s="3">
        <v>151.6</v>
      </c>
      <c r="S195" s="3">
        <v>142</v>
      </c>
      <c r="T195" s="3">
        <v>134.1</v>
      </c>
      <c r="U195" s="3">
        <v>140.80000000000001</v>
      </c>
      <c r="V195" s="3">
        <v>416.90000000000003</v>
      </c>
      <c r="W195">
        <v>137.30000000000001</v>
      </c>
      <c r="X195" s="3">
        <v>137.30000000000001</v>
      </c>
      <c r="Y195" s="3">
        <v>132.19999999999999</v>
      </c>
      <c r="Z195" s="3">
        <v>133.6</v>
      </c>
      <c r="AA195" s="3">
        <v>131.30000000000001</v>
      </c>
      <c r="AB195" s="3">
        <v>117.8</v>
      </c>
      <c r="AC195" s="3">
        <v>128.4</v>
      </c>
      <c r="AD195" s="3">
        <v>137.9</v>
      </c>
      <c r="AE195" s="3">
        <v>126.2</v>
      </c>
      <c r="AF195" s="3">
        <v>127.7</v>
      </c>
      <c r="AG195" s="3">
        <v>633.69999999999993</v>
      </c>
      <c r="AH195" s="3">
        <v>136.1</v>
      </c>
      <c r="AI195" s="10" t="str">
        <f t="shared" si="3"/>
        <v>2017 October</v>
      </c>
    </row>
    <row r="196" spans="1:35">
      <c r="A196" t="s">
        <v>34</v>
      </c>
      <c r="B196">
        <v>2017</v>
      </c>
      <c r="C196" t="s">
        <v>45</v>
      </c>
      <c r="D196" s="3">
        <v>135.69999999999999</v>
      </c>
      <c r="E196" s="3">
        <v>142.4</v>
      </c>
      <c r="F196" s="3">
        <v>142.9</v>
      </c>
      <c r="G196" s="3">
        <v>140.80000000000001</v>
      </c>
      <c r="H196" s="3">
        <v>119.2</v>
      </c>
      <c r="I196" s="3">
        <v>142.19999999999999</v>
      </c>
      <c r="J196" s="3">
        <v>173.8</v>
      </c>
      <c r="K196" s="3">
        <v>131.19999999999999</v>
      </c>
      <c r="L196" s="3">
        <v>123</v>
      </c>
      <c r="M196" s="3">
        <v>136.80000000000001</v>
      </c>
      <c r="N196" s="3">
        <v>129.19999999999999</v>
      </c>
      <c r="O196" s="3">
        <v>148.9</v>
      </c>
      <c r="P196" s="3">
        <v>142.1</v>
      </c>
      <c r="Q196" s="3">
        <v>1808.2</v>
      </c>
      <c r="R196" s="3">
        <v>153.19999999999999</v>
      </c>
      <c r="S196" s="3">
        <v>143</v>
      </c>
      <c r="T196" s="3">
        <v>134.80000000000001</v>
      </c>
      <c r="U196" s="3">
        <v>141.80000000000001</v>
      </c>
      <c r="V196" s="3">
        <v>419.6</v>
      </c>
      <c r="W196">
        <v>138.6</v>
      </c>
      <c r="X196" s="3">
        <v>138.6</v>
      </c>
      <c r="Y196" s="3">
        <v>135.30000000000001</v>
      </c>
      <c r="Z196" s="3">
        <v>134.4</v>
      </c>
      <c r="AA196" s="3">
        <v>132.6</v>
      </c>
      <c r="AB196" s="3">
        <v>118.3</v>
      </c>
      <c r="AC196" s="3">
        <v>128.9</v>
      </c>
      <c r="AD196" s="3">
        <v>138.6</v>
      </c>
      <c r="AE196" s="3">
        <v>126.8</v>
      </c>
      <c r="AF196" s="3">
        <v>128.4</v>
      </c>
      <c r="AG196" s="3">
        <v>636.80000000000007</v>
      </c>
      <c r="AH196" s="3">
        <v>137.6</v>
      </c>
      <c r="AI196" s="10" t="str">
        <f t="shared" si="3"/>
        <v>2017 November</v>
      </c>
    </row>
    <row r="197" spans="1:35">
      <c r="A197" t="s">
        <v>34</v>
      </c>
      <c r="B197">
        <v>2017</v>
      </c>
      <c r="C197" t="s">
        <v>38</v>
      </c>
      <c r="D197" s="3">
        <v>132.9</v>
      </c>
      <c r="E197" s="3">
        <v>141.6</v>
      </c>
      <c r="F197" s="3">
        <v>126.3</v>
      </c>
      <c r="G197" s="3">
        <v>137.69999999999999</v>
      </c>
      <c r="H197" s="3">
        <v>118.1</v>
      </c>
      <c r="I197" s="3">
        <v>137.9</v>
      </c>
      <c r="J197" s="3">
        <v>125.6</v>
      </c>
      <c r="K197" s="3">
        <v>138.30000000000001</v>
      </c>
      <c r="L197" s="3">
        <v>119.4</v>
      </c>
      <c r="M197" s="3">
        <v>136</v>
      </c>
      <c r="N197" s="3">
        <v>127.6</v>
      </c>
      <c r="O197" s="3">
        <v>144.5</v>
      </c>
      <c r="P197" s="3">
        <v>133.69999999999999</v>
      </c>
      <c r="Q197" s="3">
        <v>1719.6000000000001</v>
      </c>
      <c r="R197" s="3">
        <v>146.19999999999999</v>
      </c>
      <c r="S197" s="3">
        <v>138.19999999999999</v>
      </c>
      <c r="T197" s="3">
        <v>131.4</v>
      </c>
      <c r="U197" s="3">
        <v>137.19999999999999</v>
      </c>
      <c r="V197" s="3">
        <v>406.8</v>
      </c>
      <c r="W197">
        <v>132.1</v>
      </c>
      <c r="X197" s="3">
        <v>132.1</v>
      </c>
      <c r="Y197" s="3">
        <v>129.4</v>
      </c>
      <c r="Z197" s="3">
        <v>130.9</v>
      </c>
      <c r="AA197" s="3">
        <v>128.4</v>
      </c>
      <c r="AB197" s="3">
        <v>116.7</v>
      </c>
      <c r="AC197" s="3">
        <v>125.7</v>
      </c>
      <c r="AD197" s="3">
        <v>134.80000000000001</v>
      </c>
      <c r="AE197" s="3">
        <v>123</v>
      </c>
      <c r="AF197" s="3">
        <v>125.3</v>
      </c>
      <c r="AG197" s="3">
        <v>621.6</v>
      </c>
      <c r="AH197" s="3">
        <v>131.4</v>
      </c>
      <c r="AI197" s="10" t="str">
        <f t="shared" si="3"/>
        <v>2017 May</v>
      </c>
    </row>
    <row r="198" spans="1:35">
      <c r="A198" t="s">
        <v>34</v>
      </c>
      <c r="B198">
        <v>2017</v>
      </c>
      <c r="C198" t="s">
        <v>36</v>
      </c>
      <c r="D198" s="3">
        <v>133.30000000000001</v>
      </c>
      <c r="E198" s="3">
        <v>139</v>
      </c>
      <c r="F198" s="3">
        <v>128.6</v>
      </c>
      <c r="G198" s="3">
        <v>136.30000000000001</v>
      </c>
      <c r="H198" s="3">
        <v>118.8</v>
      </c>
      <c r="I198" s="3">
        <v>138.30000000000001</v>
      </c>
      <c r="J198" s="3">
        <v>120.5</v>
      </c>
      <c r="K198" s="3">
        <v>143.9</v>
      </c>
      <c r="L198" s="3">
        <v>118</v>
      </c>
      <c r="M198" s="3">
        <v>137.9</v>
      </c>
      <c r="N198" s="3">
        <v>127.2</v>
      </c>
      <c r="O198" s="3">
        <v>144</v>
      </c>
      <c r="P198" s="3">
        <v>133.1</v>
      </c>
      <c r="Q198" s="3">
        <v>1718.9</v>
      </c>
      <c r="R198" s="3">
        <v>145.1</v>
      </c>
      <c r="S198" s="3">
        <v>137.30000000000001</v>
      </c>
      <c r="T198" s="3">
        <v>130.6</v>
      </c>
      <c r="U198" s="3">
        <v>136.4</v>
      </c>
      <c r="V198" s="3">
        <v>404.29999999999995</v>
      </c>
      <c r="W198">
        <v>131.1</v>
      </c>
      <c r="X198" s="3">
        <v>131.1</v>
      </c>
      <c r="Y198" s="3">
        <v>129.1</v>
      </c>
      <c r="Z198" s="3">
        <v>130.1</v>
      </c>
      <c r="AA198" s="3">
        <v>127.8</v>
      </c>
      <c r="AB198" s="3">
        <v>117.6</v>
      </c>
      <c r="AC198" s="3">
        <v>125</v>
      </c>
      <c r="AD198" s="3">
        <v>133.80000000000001</v>
      </c>
      <c r="AE198" s="3">
        <v>122.6</v>
      </c>
      <c r="AF198" s="3">
        <v>125.1</v>
      </c>
      <c r="AG198" s="3">
        <v>620.4</v>
      </c>
      <c r="AH198" s="3">
        <v>130.9</v>
      </c>
      <c r="AI198" s="10" t="str">
        <f t="shared" si="3"/>
        <v>2017 March</v>
      </c>
    </row>
    <row r="199" spans="1:35">
      <c r="A199" t="s">
        <v>34</v>
      </c>
      <c r="B199">
        <v>2017</v>
      </c>
      <c r="C199" t="s">
        <v>39</v>
      </c>
      <c r="D199" s="3">
        <v>133.30000000000001</v>
      </c>
      <c r="E199" s="3">
        <v>145.5</v>
      </c>
      <c r="F199" s="3">
        <v>128.1</v>
      </c>
      <c r="G199" s="3">
        <v>138.1</v>
      </c>
      <c r="H199" s="3">
        <v>118.2</v>
      </c>
      <c r="I199" s="3">
        <v>139.19999999999999</v>
      </c>
      <c r="J199" s="3">
        <v>133.30000000000001</v>
      </c>
      <c r="K199" s="3">
        <v>136.19999999999999</v>
      </c>
      <c r="L199" s="3">
        <v>119.6</v>
      </c>
      <c r="M199" s="3">
        <v>135.30000000000001</v>
      </c>
      <c r="N199" s="3">
        <v>127.8</v>
      </c>
      <c r="O199" s="3">
        <v>144.9</v>
      </c>
      <c r="P199" s="3">
        <v>135.19999999999999</v>
      </c>
      <c r="Q199" s="3">
        <v>1734.7</v>
      </c>
      <c r="R199" s="3">
        <v>146.5</v>
      </c>
      <c r="S199" s="3">
        <v>138.5</v>
      </c>
      <c r="T199" s="3">
        <v>131.69999999999999</v>
      </c>
      <c r="U199" s="3">
        <v>137.5</v>
      </c>
      <c r="V199" s="3">
        <v>407.7</v>
      </c>
      <c r="W199">
        <v>131.4</v>
      </c>
      <c r="X199" s="3">
        <v>131.4</v>
      </c>
      <c r="Y199" s="3">
        <v>128.80000000000001</v>
      </c>
      <c r="Z199" s="3">
        <v>131.19999999999999</v>
      </c>
      <c r="AA199" s="3">
        <v>128.5</v>
      </c>
      <c r="AB199" s="3">
        <v>116.5</v>
      </c>
      <c r="AC199" s="3">
        <v>125.9</v>
      </c>
      <c r="AD199" s="3">
        <v>135.4</v>
      </c>
      <c r="AE199" s="3">
        <v>123.4</v>
      </c>
      <c r="AF199" s="3">
        <v>125.5</v>
      </c>
      <c r="AG199" s="3">
        <v>622.5</v>
      </c>
      <c r="AH199" s="3">
        <v>132</v>
      </c>
      <c r="AI199" s="10" t="str">
        <f t="shared" si="3"/>
        <v>2017 June</v>
      </c>
    </row>
    <row r="200" spans="1:35">
      <c r="A200" t="s">
        <v>34</v>
      </c>
      <c r="B200">
        <v>2017</v>
      </c>
      <c r="C200" t="s">
        <v>40</v>
      </c>
      <c r="D200" s="3">
        <v>133.6</v>
      </c>
      <c r="E200" s="3">
        <v>145.69999999999999</v>
      </c>
      <c r="F200" s="3">
        <v>129.6</v>
      </c>
      <c r="G200" s="3">
        <v>138.5</v>
      </c>
      <c r="H200" s="3">
        <v>118.1</v>
      </c>
      <c r="I200" s="3">
        <v>141.80000000000001</v>
      </c>
      <c r="J200" s="3">
        <v>159.5</v>
      </c>
      <c r="K200" s="3">
        <v>133.6</v>
      </c>
      <c r="L200" s="3">
        <v>120.5</v>
      </c>
      <c r="M200" s="3">
        <v>135.19999999999999</v>
      </c>
      <c r="N200" s="3">
        <v>128.5</v>
      </c>
      <c r="O200" s="3">
        <v>145.80000000000001</v>
      </c>
      <c r="P200" s="3">
        <v>139</v>
      </c>
      <c r="Q200" s="3">
        <v>1769.3999999999999</v>
      </c>
      <c r="R200" s="3">
        <v>148.19999999999999</v>
      </c>
      <c r="S200" s="3">
        <v>139.30000000000001</v>
      </c>
      <c r="T200" s="3">
        <v>132.1</v>
      </c>
      <c r="U200" s="3">
        <v>138.30000000000001</v>
      </c>
      <c r="V200" s="3">
        <v>409.7</v>
      </c>
      <c r="W200">
        <v>132.6</v>
      </c>
      <c r="X200" s="3">
        <v>132.6</v>
      </c>
      <c r="Y200" s="3">
        <v>129.4</v>
      </c>
      <c r="Z200" s="3">
        <v>131.9</v>
      </c>
      <c r="AA200" s="3">
        <v>129.4</v>
      </c>
      <c r="AB200" s="3">
        <v>116</v>
      </c>
      <c r="AC200" s="3">
        <v>126.6</v>
      </c>
      <c r="AD200" s="3">
        <v>136.80000000000001</v>
      </c>
      <c r="AE200" s="3">
        <v>123.6</v>
      </c>
      <c r="AF200" s="3">
        <v>125.9</v>
      </c>
      <c r="AG200" s="3">
        <v>624</v>
      </c>
      <c r="AH200" s="3">
        <v>134.19999999999999</v>
      </c>
      <c r="AI200" s="10" t="str">
        <f t="shared" si="3"/>
        <v>2017 July</v>
      </c>
    </row>
    <row r="201" spans="1:35">
      <c r="A201" t="s">
        <v>34</v>
      </c>
      <c r="B201">
        <v>2017</v>
      </c>
      <c r="C201" t="s">
        <v>31</v>
      </c>
      <c r="D201" s="3">
        <v>132.80000000000001</v>
      </c>
      <c r="E201" s="3">
        <v>138.19999999999999</v>
      </c>
      <c r="F201" s="3">
        <v>132.19999999999999</v>
      </c>
      <c r="G201" s="3">
        <v>135.4</v>
      </c>
      <c r="H201" s="3">
        <v>119.1</v>
      </c>
      <c r="I201" s="3">
        <v>133</v>
      </c>
      <c r="J201" s="3">
        <v>119.4</v>
      </c>
      <c r="K201" s="3">
        <v>159.5</v>
      </c>
      <c r="L201" s="3">
        <v>115.6</v>
      </c>
      <c r="M201" s="3">
        <v>139.6</v>
      </c>
      <c r="N201" s="3">
        <v>126.6</v>
      </c>
      <c r="O201" s="3">
        <v>142.80000000000001</v>
      </c>
      <c r="P201" s="3">
        <v>133.1</v>
      </c>
      <c r="Q201" s="3">
        <v>1727.2999999999995</v>
      </c>
      <c r="R201" s="3">
        <v>143.80000000000001</v>
      </c>
      <c r="S201" s="3">
        <v>136.6</v>
      </c>
      <c r="T201" s="3">
        <v>130.19999999999999</v>
      </c>
      <c r="U201" s="3">
        <v>135.6</v>
      </c>
      <c r="V201" s="3">
        <v>402.4</v>
      </c>
      <c r="W201">
        <v>129.6</v>
      </c>
      <c r="X201" s="3">
        <v>129.6</v>
      </c>
      <c r="Y201" s="3">
        <v>126.8</v>
      </c>
      <c r="Z201" s="3">
        <v>129.4</v>
      </c>
      <c r="AA201" s="3">
        <v>127.1</v>
      </c>
      <c r="AB201" s="3">
        <v>117</v>
      </c>
      <c r="AC201" s="3">
        <v>124.2</v>
      </c>
      <c r="AD201" s="3">
        <v>133.30000000000001</v>
      </c>
      <c r="AE201" s="3">
        <v>121.7</v>
      </c>
      <c r="AF201" s="3">
        <v>124.4</v>
      </c>
      <c r="AG201" s="3">
        <v>616.70000000000005</v>
      </c>
      <c r="AH201" s="3">
        <v>130.30000000000001</v>
      </c>
      <c r="AI201" s="10" t="str">
        <f t="shared" si="3"/>
        <v>2017 January</v>
      </c>
    </row>
    <row r="202" spans="1:35">
      <c r="A202" t="s">
        <v>34</v>
      </c>
      <c r="B202">
        <v>2017</v>
      </c>
      <c r="C202" t="s">
        <v>35</v>
      </c>
      <c r="D202" s="3">
        <v>133.1</v>
      </c>
      <c r="E202" s="3">
        <v>138.80000000000001</v>
      </c>
      <c r="F202" s="3">
        <v>129.30000000000001</v>
      </c>
      <c r="G202" s="3">
        <v>135.80000000000001</v>
      </c>
      <c r="H202" s="3">
        <v>119.2</v>
      </c>
      <c r="I202" s="3">
        <v>135.30000000000001</v>
      </c>
      <c r="J202" s="3">
        <v>119.5</v>
      </c>
      <c r="K202" s="3">
        <v>152.19999999999999</v>
      </c>
      <c r="L202" s="3">
        <v>117.3</v>
      </c>
      <c r="M202" s="3">
        <v>138.69999999999999</v>
      </c>
      <c r="N202" s="3">
        <v>126.9</v>
      </c>
      <c r="O202" s="3">
        <v>143.19999999999999</v>
      </c>
      <c r="P202" s="3">
        <v>133</v>
      </c>
      <c r="Q202" s="3">
        <v>1722.3000000000002</v>
      </c>
      <c r="R202" s="3">
        <v>144.4</v>
      </c>
      <c r="S202" s="3">
        <v>136.80000000000001</v>
      </c>
      <c r="T202" s="3">
        <v>130.30000000000001</v>
      </c>
      <c r="U202" s="3">
        <v>135.9</v>
      </c>
      <c r="V202" s="3">
        <v>403</v>
      </c>
      <c r="W202">
        <v>130.5</v>
      </c>
      <c r="X202" s="3">
        <v>130.5</v>
      </c>
      <c r="Y202" s="3">
        <v>127.9</v>
      </c>
      <c r="Z202" s="3">
        <v>129.69999999999999</v>
      </c>
      <c r="AA202" s="3">
        <v>127.4</v>
      </c>
      <c r="AB202" s="3">
        <v>117.4</v>
      </c>
      <c r="AC202" s="3">
        <v>124.6</v>
      </c>
      <c r="AD202" s="3">
        <v>133.4</v>
      </c>
      <c r="AE202" s="3">
        <v>122.6</v>
      </c>
      <c r="AF202" s="3">
        <v>124.8</v>
      </c>
      <c r="AG202" s="3">
        <v>619.09999999999991</v>
      </c>
      <c r="AH202" s="3">
        <v>130.6</v>
      </c>
      <c r="AI202" s="10" t="str">
        <f t="shared" si="3"/>
        <v>2017 February</v>
      </c>
    </row>
    <row r="203" spans="1:35">
      <c r="A203" t="s">
        <v>34</v>
      </c>
      <c r="B203">
        <v>2017</v>
      </c>
      <c r="C203" t="s">
        <v>46</v>
      </c>
      <c r="D203" s="3">
        <v>135.80000000000001</v>
      </c>
      <c r="E203" s="3">
        <v>143.30000000000001</v>
      </c>
      <c r="F203" s="3">
        <v>145.19999999999999</v>
      </c>
      <c r="G203" s="3">
        <v>141</v>
      </c>
      <c r="H203" s="3">
        <v>120.5</v>
      </c>
      <c r="I203" s="3">
        <v>141.5</v>
      </c>
      <c r="J203" s="3">
        <v>161.69999999999999</v>
      </c>
      <c r="K203" s="3">
        <v>129.1</v>
      </c>
      <c r="L203" s="3">
        <v>121.5</v>
      </c>
      <c r="M203" s="3">
        <v>137.1</v>
      </c>
      <c r="N203" s="3">
        <v>128.80000000000001</v>
      </c>
      <c r="O203" s="3">
        <v>149</v>
      </c>
      <c r="P203" s="3">
        <v>140.5</v>
      </c>
      <c r="Q203" s="3">
        <v>1794.9999999999998</v>
      </c>
      <c r="R203" s="3">
        <v>154.19999999999999</v>
      </c>
      <c r="S203" s="3">
        <v>143.1</v>
      </c>
      <c r="T203" s="3">
        <v>135.1</v>
      </c>
      <c r="U203" s="3">
        <v>142</v>
      </c>
      <c r="V203" s="3">
        <v>420.2</v>
      </c>
      <c r="W203">
        <v>139.1</v>
      </c>
      <c r="X203" s="3">
        <v>139.1</v>
      </c>
      <c r="Y203" s="3">
        <v>136.6</v>
      </c>
      <c r="Z203" s="3">
        <v>134.69999999999999</v>
      </c>
      <c r="AA203" s="3">
        <v>133.1</v>
      </c>
      <c r="AB203" s="3">
        <v>118.5</v>
      </c>
      <c r="AC203" s="3">
        <v>129</v>
      </c>
      <c r="AD203" s="3">
        <v>138.5</v>
      </c>
      <c r="AE203" s="3">
        <v>126.5</v>
      </c>
      <c r="AF203" s="3">
        <v>128.6</v>
      </c>
      <c r="AG203" s="3">
        <v>637.29999999999995</v>
      </c>
      <c r="AH203" s="3">
        <v>137.19999999999999</v>
      </c>
      <c r="AI203" s="10" t="str">
        <f t="shared" si="3"/>
        <v>2017 December</v>
      </c>
    </row>
    <row r="204" spans="1:35">
      <c r="A204" t="s">
        <v>34</v>
      </c>
      <c r="B204">
        <v>2017</v>
      </c>
      <c r="C204" t="s">
        <v>41</v>
      </c>
      <c r="D204" s="3">
        <v>134.30000000000001</v>
      </c>
      <c r="E204" s="3">
        <v>143.4</v>
      </c>
      <c r="F204" s="3">
        <v>129.30000000000001</v>
      </c>
      <c r="G204" s="3">
        <v>139</v>
      </c>
      <c r="H204" s="3">
        <v>118.1</v>
      </c>
      <c r="I204" s="3">
        <v>145.5</v>
      </c>
      <c r="J204" s="3">
        <v>168.6</v>
      </c>
      <c r="K204" s="3">
        <v>132.69999999999999</v>
      </c>
      <c r="L204" s="3">
        <v>121.2</v>
      </c>
      <c r="M204" s="3">
        <v>135.6</v>
      </c>
      <c r="N204" s="3">
        <v>128.69999999999999</v>
      </c>
      <c r="O204" s="3">
        <v>146.80000000000001</v>
      </c>
      <c r="P204" s="3">
        <v>140.6</v>
      </c>
      <c r="Q204" s="3">
        <v>1783.8</v>
      </c>
      <c r="R204" s="3">
        <v>149.80000000000001</v>
      </c>
      <c r="S204" s="3">
        <v>140.30000000000001</v>
      </c>
      <c r="T204" s="3">
        <v>133</v>
      </c>
      <c r="U204" s="3">
        <v>139.30000000000001</v>
      </c>
      <c r="V204" s="3">
        <v>412.6</v>
      </c>
      <c r="W204">
        <v>134.4</v>
      </c>
      <c r="X204" s="3">
        <v>134.4</v>
      </c>
      <c r="Y204" s="3">
        <v>129.80000000000001</v>
      </c>
      <c r="Z204" s="3">
        <v>132.80000000000001</v>
      </c>
      <c r="AA204" s="3">
        <v>130.19999999999999</v>
      </c>
      <c r="AB204" s="3">
        <v>117.3</v>
      </c>
      <c r="AC204" s="3">
        <v>127.3</v>
      </c>
      <c r="AD204" s="3">
        <v>137.6</v>
      </c>
      <c r="AE204" s="3">
        <v>124.5</v>
      </c>
      <c r="AF204" s="3">
        <v>126.8</v>
      </c>
      <c r="AG204" s="3">
        <v>628.70000000000005</v>
      </c>
      <c r="AH204" s="3">
        <v>135.4</v>
      </c>
      <c r="AI204" s="10" t="str">
        <f t="shared" si="3"/>
        <v>2017 August</v>
      </c>
    </row>
    <row r="205" spans="1:35">
      <c r="A205" t="s">
        <v>34</v>
      </c>
      <c r="B205">
        <v>2017</v>
      </c>
      <c r="C205" t="s">
        <v>37</v>
      </c>
      <c r="D205" s="3">
        <v>133</v>
      </c>
      <c r="E205" s="3">
        <v>139.4</v>
      </c>
      <c r="F205" s="3">
        <v>126.1</v>
      </c>
      <c r="G205" s="3">
        <v>137.19999999999999</v>
      </c>
      <c r="H205" s="3">
        <v>118.4</v>
      </c>
      <c r="I205" s="3">
        <v>139.9</v>
      </c>
      <c r="J205" s="3">
        <v>123.4</v>
      </c>
      <c r="K205" s="3">
        <v>140.9</v>
      </c>
      <c r="L205" s="3">
        <v>118.5</v>
      </c>
      <c r="M205" s="3">
        <v>136.5</v>
      </c>
      <c r="N205" s="3">
        <v>127.4</v>
      </c>
      <c r="O205" s="3">
        <v>144.19999999999999</v>
      </c>
      <c r="P205" s="3">
        <v>133.5</v>
      </c>
      <c r="Q205" s="3">
        <v>1718.4</v>
      </c>
      <c r="R205" s="3">
        <v>145.4</v>
      </c>
      <c r="S205" s="3">
        <v>138</v>
      </c>
      <c r="T205" s="3">
        <v>131.1</v>
      </c>
      <c r="U205" s="3">
        <v>137</v>
      </c>
      <c r="V205" s="3">
        <v>406.1</v>
      </c>
      <c r="W205">
        <v>131.69999999999999</v>
      </c>
      <c r="X205" s="3">
        <v>131.69999999999999</v>
      </c>
      <c r="Y205" s="3">
        <v>129.80000000000001</v>
      </c>
      <c r="Z205" s="3">
        <v>130.4</v>
      </c>
      <c r="AA205" s="3">
        <v>128.1</v>
      </c>
      <c r="AB205" s="3">
        <v>116.6</v>
      </c>
      <c r="AC205" s="3">
        <v>125.1</v>
      </c>
      <c r="AD205" s="3">
        <v>134.5</v>
      </c>
      <c r="AE205" s="3">
        <v>123.1</v>
      </c>
      <c r="AF205" s="3">
        <v>125.1</v>
      </c>
      <c r="AG205" s="3">
        <v>620.30000000000007</v>
      </c>
      <c r="AH205" s="3">
        <v>131.1</v>
      </c>
      <c r="AI205" s="10" t="str">
        <f t="shared" si="3"/>
        <v>2017 April</v>
      </c>
    </row>
    <row r="206" spans="1:35">
      <c r="A206" t="s">
        <v>30</v>
      </c>
      <c r="B206">
        <v>2017</v>
      </c>
      <c r="C206" t="s">
        <v>42</v>
      </c>
      <c r="D206" s="3">
        <v>135.19999999999999</v>
      </c>
      <c r="E206" s="3">
        <v>142</v>
      </c>
      <c r="F206" s="3">
        <v>130.5</v>
      </c>
      <c r="G206" s="3">
        <v>140.19999999999999</v>
      </c>
      <c r="H206" s="3">
        <v>120.7</v>
      </c>
      <c r="I206" s="3">
        <v>147.80000000000001</v>
      </c>
      <c r="J206" s="3">
        <v>154.5</v>
      </c>
      <c r="K206" s="3">
        <v>137.1</v>
      </c>
      <c r="L206" s="3">
        <v>121</v>
      </c>
      <c r="M206" s="3">
        <v>134.69999999999999</v>
      </c>
      <c r="N206" s="3">
        <v>131.69999999999999</v>
      </c>
      <c r="O206" s="3">
        <v>149.30000000000001</v>
      </c>
      <c r="P206" s="3">
        <v>139.6</v>
      </c>
      <c r="Q206" s="3">
        <v>1784.3</v>
      </c>
      <c r="R206" s="3">
        <v>149.80000000000001</v>
      </c>
      <c r="S206" s="3">
        <v>146.1</v>
      </c>
      <c r="T206" s="3">
        <v>139.69999999999999</v>
      </c>
      <c r="U206" s="3">
        <v>145.19999999999999</v>
      </c>
      <c r="V206" s="3">
        <v>430.99999999999994</v>
      </c>
      <c r="W206" t="s">
        <v>32</v>
      </c>
      <c r="X206" s="3">
        <v>133.6</v>
      </c>
      <c r="Y206" s="3">
        <v>137.4</v>
      </c>
      <c r="Z206" s="3">
        <v>137.9</v>
      </c>
      <c r="AA206" s="3">
        <v>133.4</v>
      </c>
      <c r="AB206" s="3">
        <v>121.2</v>
      </c>
      <c r="AC206" s="3">
        <v>132.30000000000001</v>
      </c>
      <c r="AD206" s="3">
        <v>139.6</v>
      </c>
      <c r="AE206" s="3">
        <v>126.7</v>
      </c>
      <c r="AF206" s="3">
        <v>130.30000000000001</v>
      </c>
      <c r="AG206" s="3">
        <v>648.40000000000009</v>
      </c>
      <c r="AH206" s="3">
        <v>137.6</v>
      </c>
      <c r="AI206" s="10" t="str">
        <f t="shared" si="3"/>
        <v>2017 September</v>
      </c>
    </row>
    <row r="207" spans="1:35">
      <c r="A207" t="s">
        <v>33</v>
      </c>
      <c r="B207">
        <v>2017</v>
      </c>
      <c r="C207" t="s">
        <v>42</v>
      </c>
      <c r="D207" s="3">
        <v>133.6</v>
      </c>
      <c r="E207" s="3">
        <v>143</v>
      </c>
      <c r="F207" s="3">
        <v>129.69999999999999</v>
      </c>
      <c r="G207" s="3">
        <v>138.69999999999999</v>
      </c>
      <c r="H207" s="3">
        <v>114.5</v>
      </c>
      <c r="I207" s="3">
        <v>137.5</v>
      </c>
      <c r="J207" s="3">
        <v>160.69999999999999</v>
      </c>
      <c r="K207" s="3">
        <v>124.5</v>
      </c>
      <c r="L207" s="3">
        <v>122.4</v>
      </c>
      <c r="M207" s="3">
        <v>137.30000000000001</v>
      </c>
      <c r="N207" s="3">
        <v>124.8</v>
      </c>
      <c r="O207" s="3">
        <v>145</v>
      </c>
      <c r="P207" s="3">
        <v>138</v>
      </c>
      <c r="Q207" s="3">
        <v>1749.7</v>
      </c>
      <c r="R207" s="3">
        <v>153.6</v>
      </c>
      <c r="S207" s="3">
        <v>133.30000000000001</v>
      </c>
      <c r="T207" s="3">
        <v>124.6</v>
      </c>
      <c r="U207" s="3">
        <v>132</v>
      </c>
      <c r="V207" s="3">
        <v>389.9</v>
      </c>
      <c r="W207">
        <v>135.69999999999999</v>
      </c>
      <c r="X207" s="3">
        <v>135.69999999999999</v>
      </c>
      <c r="Y207" s="3">
        <v>120.6</v>
      </c>
      <c r="Z207" s="3">
        <v>128.1</v>
      </c>
      <c r="AA207" s="3">
        <v>126.1</v>
      </c>
      <c r="AB207" s="3">
        <v>115.7</v>
      </c>
      <c r="AC207" s="3">
        <v>124.5</v>
      </c>
      <c r="AD207" s="3">
        <v>135.9</v>
      </c>
      <c r="AE207" s="3">
        <v>124.4</v>
      </c>
      <c r="AF207" s="3">
        <v>124.5</v>
      </c>
      <c r="AG207" s="3">
        <v>617.20000000000005</v>
      </c>
      <c r="AH207" s="3">
        <v>132.4</v>
      </c>
      <c r="AI207" s="10" t="str">
        <f t="shared" si="3"/>
        <v>2017 September</v>
      </c>
    </row>
    <row r="208" spans="1:35">
      <c r="A208" t="s">
        <v>30</v>
      </c>
      <c r="B208">
        <v>2017</v>
      </c>
      <c r="C208" t="s">
        <v>43</v>
      </c>
      <c r="D208" s="3">
        <v>135.9</v>
      </c>
      <c r="E208" s="3">
        <v>141.9</v>
      </c>
      <c r="F208" s="3">
        <v>131</v>
      </c>
      <c r="G208" s="3">
        <v>141.5</v>
      </c>
      <c r="H208" s="3">
        <v>121.4</v>
      </c>
      <c r="I208" s="3">
        <v>146.69999999999999</v>
      </c>
      <c r="J208" s="3">
        <v>157.1</v>
      </c>
      <c r="K208" s="3">
        <v>136.4</v>
      </c>
      <c r="L208" s="3">
        <v>121.4</v>
      </c>
      <c r="M208" s="3">
        <v>135.6</v>
      </c>
      <c r="N208" s="3">
        <v>131.30000000000001</v>
      </c>
      <c r="O208" s="3">
        <v>150.30000000000001</v>
      </c>
      <c r="P208" s="3">
        <v>140.4</v>
      </c>
      <c r="Q208" s="3">
        <v>1790.8999999999999</v>
      </c>
      <c r="R208" s="3">
        <v>150.5</v>
      </c>
      <c r="S208" s="3">
        <v>147.19999999999999</v>
      </c>
      <c r="T208" s="3">
        <v>140.6</v>
      </c>
      <c r="U208" s="3">
        <v>146.19999999999999</v>
      </c>
      <c r="V208" s="3">
        <v>433.99999999999994</v>
      </c>
      <c r="W208" t="s">
        <v>32</v>
      </c>
      <c r="X208" s="3">
        <v>133.6</v>
      </c>
      <c r="Y208" s="3">
        <v>138.1</v>
      </c>
      <c r="Z208" s="3">
        <v>138.4</v>
      </c>
      <c r="AA208" s="3">
        <v>134.19999999999999</v>
      </c>
      <c r="AB208" s="3">
        <v>121</v>
      </c>
      <c r="AC208" s="3">
        <v>133</v>
      </c>
      <c r="AD208" s="3">
        <v>140.1</v>
      </c>
      <c r="AE208" s="3">
        <v>127.4</v>
      </c>
      <c r="AF208" s="3">
        <v>130.69999999999999</v>
      </c>
      <c r="AG208" s="3">
        <v>650.5</v>
      </c>
      <c r="AH208" s="3">
        <v>138.30000000000001</v>
      </c>
      <c r="AI208" s="10" t="str">
        <f t="shared" si="3"/>
        <v>2017 October</v>
      </c>
    </row>
    <row r="209" spans="1:35">
      <c r="A209" t="s">
        <v>33</v>
      </c>
      <c r="B209">
        <v>2017</v>
      </c>
      <c r="C209" t="s">
        <v>43</v>
      </c>
      <c r="D209" s="3">
        <v>133.9</v>
      </c>
      <c r="E209" s="3">
        <v>142.80000000000001</v>
      </c>
      <c r="F209" s="3">
        <v>131.4</v>
      </c>
      <c r="G209" s="3">
        <v>139.1</v>
      </c>
      <c r="H209" s="3">
        <v>114.9</v>
      </c>
      <c r="I209" s="3">
        <v>135.6</v>
      </c>
      <c r="J209" s="3">
        <v>173.2</v>
      </c>
      <c r="K209" s="3">
        <v>124.1</v>
      </c>
      <c r="L209" s="3">
        <v>122.6</v>
      </c>
      <c r="M209" s="3">
        <v>137.80000000000001</v>
      </c>
      <c r="N209" s="3">
        <v>125.1</v>
      </c>
      <c r="O209" s="3">
        <v>145.5</v>
      </c>
      <c r="P209" s="3">
        <v>139.69999999999999</v>
      </c>
      <c r="Q209" s="3">
        <v>1765.6999999999998</v>
      </c>
      <c r="R209" s="3">
        <v>154.6</v>
      </c>
      <c r="S209" s="3">
        <v>134</v>
      </c>
      <c r="T209" s="3">
        <v>124.9</v>
      </c>
      <c r="U209" s="3">
        <v>132.6</v>
      </c>
      <c r="V209" s="3">
        <v>391.5</v>
      </c>
      <c r="W209">
        <v>137.30000000000001</v>
      </c>
      <c r="X209" s="3">
        <v>137.30000000000001</v>
      </c>
      <c r="Y209" s="3">
        <v>122.6</v>
      </c>
      <c r="Z209" s="3">
        <v>128.30000000000001</v>
      </c>
      <c r="AA209" s="3">
        <v>126.6</v>
      </c>
      <c r="AB209" s="3">
        <v>115</v>
      </c>
      <c r="AC209" s="3">
        <v>124.8</v>
      </c>
      <c r="AD209" s="3">
        <v>136.30000000000001</v>
      </c>
      <c r="AE209" s="3">
        <v>124.6</v>
      </c>
      <c r="AF209" s="3">
        <v>124.5</v>
      </c>
      <c r="AG209" s="3">
        <v>617.20000000000005</v>
      </c>
      <c r="AH209" s="3">
        <v>133.5</v>
      </c>
      <c r="AI209" s="10" t="str">
        <f t="shared" si="3"/>
        <v>2017 October</v>
      </c>
    </row>
    <row r="210" spans="1:35">
      <c r="A210" t="s">
        <v>30</v>
      </c>
      <c r="B210">
        <v>2017</v>
      </c>
      <c r="C210" t="s">
        <v>45</v>
      </c>
      <c r="D210" s="3">
        <v>136.30000000000001</v>
      </c>
      <c r="E210" s="3">
        <v>142.5</v>
      </c>
      <c r="F210" s="3">
        <v>140.5</v>
      </c>
      <c r="G210" s="3">
        <v>141.5</v>
      </c>
      <c r="H210" s="3">
        <v>121.6</v>
      </c>
      <c r="I210" s="3">
        <v>147.30000000000001</v>
      </c>
      <c r="J210" s="3">
        <v>168</v>
      </c>
      <c r="K210" s="3">
        <v>135.80000000000001</v>
      </c>
      <c r="L210" s="3">
        <v>122.5</v>
      </c>
      <c r="M210" s="3">
        <v>136</v>
      </c>
      <c r="N210" s="3">
        <v>131.9</v>
      </c>
      <c r="O210" s="3">
        <v>151.4</v>
      </c>
      <c r="P210" s="3">
        <v>142.4</v>
      </c>
      <c r="Q210" s="3">
        <v>1817.7000000000003</v>
      </c>
      <c r="R210" s="3">
        <v>152.1</v>
      </c>
      <c r="S210" s="3">
        <v>148.19999999999999</v>
      </c>
      <c r="T210" s="3">
        <v>141.5</v>
      </c>
      <c r="U210" s="3">
        <v>147.30000000000001</v>
      </c>
      <c r="V210" s="3">
        <v>437</v>
      </c>
      <c r="W210" t="s">
        <v>32</v>
      </c>
      <c r="X210" s="3">
        <v>133.6</v>
      </c>
      <c r="Y210" s="3">
        <v>141.1</v>
      </c>
      <c r="Z210" s="3">
        <v>139.4</v>
      </c>
      <c r="AA210" s="3">
        <v>135.80000000000001</v>
      </c>
      <c r="AB210" s="3">
        <v>121.6</v>
      </c>
      <c r="AC210" s="3">
        <v>133.69999999999999</v>
      </c>
      <c r="AD210" s="3">
        <v>141.5</v>
      </c>
      <c r="AE210" s="3">
        <v>128.1</v>
      </c>
      <c r="AF210" s="3">
        <v>131.69999999999999</v>
      </c>
      <c r="AG210" s="3">
        <v>654.5</v>
      </c>
      <c r="AH210" s="3">
        <v>140</v>
      </c>
      <c r="AI210" s="10" t="str">
        <f t="shared" si="3"/>
        <v>2017 November</v>
      </c>
    </row>
    <row r="211" spans="1:35">
      <c r="A211" t="s">
        <v>33</v>
      </c>
      <c r="B211">
        <v>2017</v>
      </c>
      <c r="C211" t="s">
        <v>45</v>
      </c>
      <c r="D211" s="3">
        <v>134.30000000000001</v>
      </c>
      <c r="E211" s="3">
        <v>142.1</v>
      </c>
      <c r="F211" s="3">
        <v>146.69999999999999</v>
      </c>
      <c r="G211" s="3">
        <v>139.5</v>
      </c>
      <c r="H211" s="3">
        <v>115.2</v>
      </c>
      <c r="I211" s="3">
        <v>136.4</v>
      </c>
      <c r="J211" s="3">
        <v>185.2</v>
      </c>
      <c r="K211" s="3">
        <v>122.2</v>
      </c>
      <c r="L211" s="3">
        <v>123.9</v>
      </c>
      <c r="M211" s="3">
        <v>138.30000000000001</v>
      </c>
      <c r="N211" s="3">
        <v>125.4</v>
      </c>
      <c r="O211" s="3">
        <v>146</v>
      </c>
      <c r="P211" s="3">
        <v>141.5</v>
      </c>
      <c r="Q211" s="3">
        <v>1796.7</v>
      </c>
      <c r="R211" s="3">
        <v>156.19999999999999</v>
      </c>
      <c r="S211" s="3">
        <v>135</v>
      </c>
      <c r="T211" s="3">
        <v>125.4</v>
      </c>
      <c r="U211" s="3">
        <v>133.5</v>
      </c>
      <c r="V211" s="3">
        <v>393.9</v>
      </c>
      <c r="W211">
        <v>138.6</v>
      </c>
      <c r="X211" s="3">
        <v>138.6</v>
      </c>
      <c r="Y211" s="3">
        <v>125.7</v>
      </c>
      <c r="Z211" s="3">
        <v>128.80000000000001</v>
      </c>
      <c r="AA211" s="3">
        <v>127.4</v>
      </c>
      <c r="AB211" s="3">
        <v>115.3</v>
      </c>
      <c r="AC211" s="3">
        <v>125.1</v>
      </c>
      <c r="AD211" s="3">
        <v>136.6</v>
      </c>
      <c r="AE211" s="3">
        <v>124.9</v>
      </c>
      <c r="AF211" s="3">
        <v>124.9</v>
      </c>
      <c r="AG211" s="3">
        <v>619</v>
      </c>
      <c r="AH211" s="3">
        <v>134.80000000000001</v>
      </c>
      <c r="AI211" s="10" t="str">
        <f t="shared" si="3"/>
        <v>2017 November</v>
      </c>
    </row>
    <row r="212" spans="1:35">
      <c r="A212" t="s">
        <v>30</v>
      </c>
      <c r="B212">
        <v>2017</v>
      </c>
      <c r="C212" t="s">
        <v>38</v>
      </c>
      <c r="D212" s="3">
        <v>133.1</v>
      </c>
      <c r="E212" s="3">
        <v>140.30000000000001</v>
      </c>
      <c r="F212" s="3">
        <v>126.8</v>
      </c>
      <c r="G212" s="3">
        <v>138.19999999999999</v>
      </c>
      <c r="H212" s="3">
        <v>120.8</v>
      </c>
      <c r="I212" s="3">
        <v>140.19999999999999</v>
      </c>
      <c r="J212" s="3">
        <v>123.8</v>
      </c>
      <c r="K212" s="3">
        <v>141.80000000000001</v>
      </c>
      <c r="L212" s="3">
        <v>118.6</v>
      </c>
      <c r="M212" s="3">
        <v>134</v>
      </c>
      <c r="N212" s="3">
        <v>130.30000000000001</v>
      </c>
      <c r="O212" s="3">
        <v>145.80000000000001</v>
      </c>
      <c r="P212" s="3">
        <v>133.80000000000001</v>
      </c>
      <c r="Q212" s="3">
        <v>1727.4999999999995</v>
      </c>
      <c r="R212" s="3">
        <v>145.5</v>
      </c>
      <c r="S212" s="3">
        <v>142.5</v>
      </c>
      <c r="T212" s="3">
        <v>137.30000000000001</v>
      </c>
      <c r="U212" s="3">
        <v>141.80000000000001</v>
      </c>
      <c r="V212" s="3">
        <v>421.6</v>
      </c>
      <c r="W212" t="s">
        <v>32</v>
      </c>
      <c r="X212" s="3">
        <v>133.6</v>
      </c>
      <c r="Y212" s="3">
        <v>135</v>
      </c>
      <c r="Z212" s="3">
        <v>134.9</v>
      </c>
      <c r="AA212" s="3">
        <v>131.4</v>
      </c>
      <c r="AB212" s="3">
        <v>119.4</v>
      </c>
      <c r="AC212" s="3">
        <v>129.4</v>
      </c>
      <c r="AD212" s="3">
        <v>136.30000000000001</v>
      </c>
      <c r="AE212" s="3">
        <v>123.7</v>
      </c>
      <c r="AF212" s="3">
        <v>127.9</v>
      </c>
      <c r="AG212" s="3">
        <v>635.30000000000007</v>
      </c>
      <c r="AH212" s="3">
        <v>133.30000000000001</v>
      </c>
      <c r="AI212" s="10" t="str">
        <f t="shared" si="3"/>
        <v>2017 May</v>
      </c>
    </row>
    <row r="213" spans="1:35">
      <c r="A213" t="s">
        <v>33</v>
      </c>
      <c r="B213">
        <v>2017</v>
      </c>
      <c r="C213" t="s">
        <v>38</v>
      </c>
      <c r="D213" s="3">
        <v>132.6</v>
      </c>
      <c r="E213" s="3">
        <v>144.1</v>
      </c>
      <c r="F213" s="3">
        <v>125.6</v>
      </c>
      <c r="G213" s="3">
        <v>136.80000000000001</v>
      </c>
      <c r="H213" s="3">
        <v>113.4</v>
      </c>
      <c r="I213" s="3">
        <v>135.19999999999999</v>
      </c>
      <c r="J213" s="3">
        <v>129.19999999999999</v>
      </c>
      <c r="K213" s="3">
        <v>131.5</v>
      </c>
      <c r="L213" s="3">
        <v>121</v>
      </c>
      <c r="M213" s="3">
        <v>139.9</v>
      </c>
      <c r="N213" s="3">
        <v>123.8</v>
      </c>
      <c r="O213" s="3">
        <v>142.9</v>
      </c>
      <c r="P213" s="3">
        <v>133.6</v>
      </c>
      <c r="Q213" s="3">
        <v>1709.6</v>
      </c>
      <c r="R213" s="3">
        <v>148.30000000000001</v>
      </c>
      <c r="S213" s="3">
        <v>131.5</v>
      </c>
      <c r="T213" s="3">
        <v>123.2</v>
      </c>
      <c r="U213" s="3">
        <v>130.19999999999999</v>
      </c>
      <c r="V213" s="3">
        <v>384.9</v>
      </c>
      <c r="W213">
        <v>132.1</v>
      </c>
      <c r="X213" s="3">
        <v>132.1</v>
      </c>
      <c r="Y213" s="3">
        <v>120.1</v>
      </c>
      <c r="Z213" s="3">
        <v>126.5</v>
      </c>
      <c r="AA213" s="3">
        <v>123.6</v>
      </c>
      <c r="AB213" s="3">
        <v>114.3</v>
      </c>
      <c r="AC213" s="3">
        <v>122.8</v>
      </c>
      <c r="AD213" s="3">
        <v>133.80000000000001</v>
      </c>
      <c r="AE213" s="3">
        <v>122</v>
      </c>
      <c r="AF213" s="3">
        <v>122.6</v>
      </c>
      <c r="AG213" s="3">
        <v>608.20000000000005</v>
      </c>
      <c r="AH213" s="3">
        <v>129.30000000000001</v>
      </c>
      <c r="AI213" s="10" t="str">
        <f t="shared" si="3"/>
        <v>2017 May</v>
      </c>
    </row>
    <row r="214" spans="1:35">
      <c r="A214" t="s">
        <v>30</v>
      </c>
      <c r="B214">
        <v>2017</v>
      </c>
      <c r="C214" t="s">
        <v>36</v>
      </c>
      <c r="D214" s="3">
        <v>133.6</v>
      </c>
      <c r="E214" s="3">
        <v>138.80000000000001</v>
      </c>
      <c r="F214" s="3">
        <v>128.80000000000001</v>
      </c>
      <c r="G214" s="3">
        <v>137.19999999999999</v>
      </c>
      <c r="H214" s="3">
        <v>121.6</v>
      </c>
      <c r="I214" s="3">
        <v>139.69999999999999</v>
      </c>
      <c r="J214" s="3">
        <v>119.7</v>
      </c>
      <c r="K214" s="3">
        <v>148</v>
      </c>
      <c r="L214" s="3">
        <v>116.9</v>
      </c>
      <c r="M214" s="3">
        <v>135.6</v>
      </c>
      <c r="N214" s="3">
        <v>129.80000000000001</v>
      </c>
      <c r="O214" s="3">
        <v>145.4</v>
      </c>
      <c r="P214" s="3">
        <v>133.4</v>
      </c>
      <c r="Q214" s="3">
        <v>1728.5000000000002</v>
      </c>
      <c r="R214" s="3">
        <v>144.19999999999999</v>
      </c>
      <c r="S214" s="3">
        <v>141.6</v>
      </c>
      <c r="T214" s="3">
        <v>136.19999999999999</v>
      </c>
      <c r="U214" s="3">
        <v>140.80000000000001</v>
      </c>
      <c r="V214" s="3">
        <v>418.59999999999997</v>
      </c>
      <c r="W214" t="s">
        <v>32</v>
      </c>
      <c r="X214" s="3">
        <v>133.6</v>
      </c>
      <c r="Y214" s="3">
        <v>134.19999999999999</v>
      </c>
      <c r="Z214" s="3">
        <v>134.1</v>
      </c>
      <c r="AA214" s="3">
        <v>130.6</v>
      </c>
      <c r="AB214" s="3">
        <v>119.8</v>
      </c>
      <c r="AC214" s="3">
        <v>128.30000000000001</v>
      </c>
      <c r="AD214" s="3">
        <v>135.19999999999999</v>
      </c>
      <c r="AE214" s="3">
        <v>123.3</v>
      </c>
      <c r="AF214" s="3">
        <v>127.4</v>
      </c>
      <c r="AG214" s="3">
        <v>632.9</v>
      </c>
      <c r="AH214" s="3">
        <v>132.80000000000001</v>
      </c>
      <c r="AI214" s="10" t="str">
        <f t="shared" si="3"/>
        <v>2017 March</v>
      </c>
    </row>
    <row r="215" spans="1:35">
      <c r="A215" t="s">
        <v>33</v>
      </c>
      <c r="B215">
        <v>2017</v>
      </c>
      <c r="C215" t="s">
        <v>36</v>
      </c>
      <c r="D215" s="3">
        <v>132.69999999999999</v>
      </c>
      <c r="E215" s="3">
        <v>139.4</v>
      </c>
      <c r="F215" s="3">
        <v>128.4</v>
      </c>
      <c r="G215" s="3">
        <v>134.9</v>
      </c>
      <c r="H215" s="3">
        <v>114</v>
      </c>
      <c r="I215" s="3">
        <v>136.80000000000001</v>
      </c>
      <c r="J215" s="3">
        <v>122.2</v>
      </c>
      <c r="K215" s="3">
        <v>135.80000000000001</v>
      </c>
      <c r="L215" s="3">
        <v>120.3</v>
      </c>
      <c r="M215" s="3">
        <v>142.6</v>
      </c>
      <c r="N215" s="3">
        <v>123.6</v>
      </c>
      <c r="O215" s="3">
        <v>142.4</v>
      </c>
      <c r="P215" s="3">
        <v>132.6</v>
      </c>
      <c r="Q215" s="3">
        <v>1705.6999999999998</v>
      </c>
      <c r="R215" s="3">
        <v>147.5</v>
      </c>
      <c r="S215" s="3">
        <v>130.80000000000001</v>
      </c>
      <c r="T215" s="3">
        <v>122.8</v>
      </c>
      <c r="U215" s="3">
        <v>129.6</v>
      </c>
      <c r="V215" s="3">
        <v>383.20000000000005</v>
      </c>
      <c r="W215">
        <v>131.1</v>
      </c>
      <c r="X215" s="3">
        <v>131.1</v>
      </c>
      <c r="Y215" s="3">
        <v>120.8</v>
      </c>
      <c r="Z215" s="3">
        <v>125.6</v>
      </c>
      <c r="AA215" s="3">
        <v>123.1</v>
      </c>
      <c r="AB215" s="3">
        <v>115.6</v>
      </c>
      <c r="AC215" s="3">
        <v>122.4</v>
      </c>
      <c r="AD215" s="3">
        <v>132.80000000000001</v>
      </c>
      <c r="AE215" s="3">
        <v>121.7</v>
      </c>
      <c r="AF215" s="3">
        <v>122.6</v>
      </c>
      <c r="AG215" s="3">
        <v>607.9</v>
      </c>
      <c r="AH215" s="3">
        <v>128.69999999999999</v>
      </c>
      <c r="AI215" s="10" t="str">
        <f t="shared" si="3"/>
        <v>2017 March</v>
      </c>
    </row>
    <row r="216" spans="1:35">
      <c r="A216" t="s">
        <v>30</v>
      </c>
      <c r="B216">
        <v>2017</v>
      </c>
      <c r="C216" t="s">
        <v>39</v>
      </c>
      <c r="D216" s="3">
        <v>133.5</v>
      </c>
      <c r="E216" s="3">
        <v>143.69999999999999</v>
      </c>
      <c r="F216" s="3">
        <v>128</v>
      </c>
      <c r="G216" s="3">
        <v>138.6</v>
      </c>
      <c r="H216" s="3">
        <v>120.9</v>
      </c>
      <c r="I216" s="3">
        <v>140.9</v>
      </c>
      <c r="J216" s="3">
        <v>128.80000000000001</v>
      </c>
      <c r="K216" s="3">
        <v>140.19999999999999</v>
      </c>
      <c r="L216" s="3">
        <v>118.9</v>
      </c>
      <c r="M216" s="3">
        <v>133.5</v>
      </c>
      <c r="N216" s="3">
        <v>130.4</v>
      </c>
      <c r="O216" s="3">
        <v>146.5</v>
      </c>
      <c r="P216" s="3">
        <v>134.9</v>
      </c>
      <c r="Q216" s="3">
        <v>1738.8000000000002</v>
      </c>
      <c r="R216" s="3">
        <v>145.80000000000001</v>
      </c>
      <c r="S216" s="3">
        <v>143.1</v>
      </c>
      <c r="T216" s="3">
        <v>137.69999999999999</v>
      </c>
      <c r="U216" s="3">
        <v>142.30000000000001</v>
      </c>
      <c r="V216" s="3">
        <v>423.09999999999997</v>
      </c>
      <c r="W216" t="s">
        <v>32</v>
      </c>
      <c r="X216" s="3">
        <v>133.6</v>
      </c>
      <c r="Y216" s="3">
        <v>134.80000000000001</v>
      </c>
      <c r="Z216" s="3">
        <v>135.19999999999999</v>
      </c>
      <c r="AA216" s="3">
        <v>131.30000000000001</v>
      </c>
      <c r="AB216" s="3">
        <v>119.4</v>
      </c>
      <c r="AC216" s="3">
        <v>129.80000000000001</v>
      </c>
      <c r="AD216" s="3">
        <v>136.9</v>
      </c>
      <c r="AE216" s="3">
        <v>124.1</v>
      </c>
      <c r="AF216" s="3">
        <v>128.1</v>
      </c>
      <c r="AG216" s="3">
        <v>636.6</v>
      </c>
      <c r="AH216" s="3">
        <v>133.9</v>
      </c>
      <c r="AI216" s="10" t="str">
        <f t="shared" si="3"/>
        <v>2017 June</v>
      </c>
    </row>
    <row r="217" spans="1:35">
      <c r="A217" t="s">
        <v>33</v>
      </c>
      <c r="B217">
        <v>2017</v>
      </c>
      <c r="C217" t="s">
        <v>39</v>
      </c>
      <c r="D217" s="3">
        <v>132.9</v>
      </c>
      <c r="E217" s="3">
        <v>148.69999999999999</v>
      </c>
      <c r="F217" s="3">
        <v>128.30000000000001</v>
      </c>
      <c r="G217" s="3">
        <v>137.30000000000001</v>
      </c>
      <c r="H217" s="3">
        <v>113.5</v>
      </c>
      <c r="I217" s="3">
        <v>137.19999999999999</v>
      </c>
      <c r="J217" s="3">
        <v>142.19999999999999</v>
      </c>
      <c r="K217" s="3">
        <v>128.19999999999999</v>
      </c>
      <c r="L217" s="3">
        <v>120.9</v>
      </c>
      <c r="M217" s="3">
        <v>138.80000000000001</v>
      </c>
      <c r="N217" s="3">
        <v>124.2</v>
      </c>
      <c r="O217" s="3">
        <v>143.1</v>
      </c>
      <c r="P217" s="3">
        <v>135.69999999999999</v>
      </c>
      <c r="Q217" s="3">
        <v>1731.0000000000002</v>
      </c>
      <c r="R217" s="3">
        <v>148.6</v>
      </c>
      <c r="S217" s="3">
        <v>131.5</v>
      </c>
      <c r="T217" s="3">
        <v>123.2</v>
      </c>
      <c r="U217" s="3">
        <v>130.19999999999999</v>
      </c>
      <c r="V217" s="3">
        <v>384.9</v>
      </c>
      <c r="W217">
        <v>131.4</v>
      </c>
      <c r="X217" s="3">
        <v>131.4</v>
      </c>
      <c r="Y217" s="3">
        <v>119</v>
      </c>
      <c r="Z217" s="3">
        <v>126.8</v>
      </c>
      <c r="AA217" s="3">
        <v>123.8</v>
      </c>
      <c r="AB217" s="3">
        <v>113.9</v>
      </c>
      <c r="AC217" s="3">
        <v>122.9</v>
      </c>
      <c r="AD217" s="3">
        <v>134.30000000000001</v>
      </c>
      <c r="AE217" s="3">
        <v>122.5</v>
      </c>
      <c r="AF217" s="3">
        <v>122.7</v>
      </c>
      <c r="AG217" s="3">
        <v>608.80000000000007</v>
      </c>
      <c r="AH217" s="3">
        <v>129.9</v>
      </c>
      <c r="AI217" s="10" t="str">
        <f t="shared" si="3"/>
        <v>2017 June</v>
      </c>
    </row>
    <row r="218" spans="1:35">
      <c r="A218" t="s">
        <v>30</v>
      </c>
      <c r="B218">
        <v>2017</v>
      </c>
      <c r="C218" t="s">
        <v>40</v>
      </c>
      <c r="D218" s="3">
        <v>134</v>
      </c>
      <c r="E218" s="3">
        <v>144.19999999999999</v>
      </c>
      <c r="F218" s="3">
        <v>129.80000000000001</v>
      </c>
      <c r="G218" s="3">
        <v>139</v>
      </c>
      <c r="H218" s="3">
        <v>120.9</v>
      </c>
      <c r="I218" s="3">
        <v>143.9</v>
      </c>
      <c r="J218" s="3">
        <v>151.5</v>
      </c>
      <c r="K218" s="3">
        <v>138.1</v>
      </c>
      <c r="L218" s="3">
        <v>120</v>
      </c>
      <c r="M218" s="3">
        <v>133.9</v>
      </c>
      <c r="N218" s="3">
        <v>131.4</v>
      </c>
      <c r="O218" s="3">
        <v>147.69999999999999</v>
      </c>
      <c r="P218" s="3">
        <v>138.5</v>
      </c>
      <c r="Q218" s="3">
        <v>1772.9</v>
      </c>
      <c r="R218" s="3">
        <v>147.4</v>
      </c>
      <c r="S218" s="3">
        <v>144.30000000000001</v>
      </c>
      <c r="T218" s="3">
        <v>138.1</v>
      </c>
      <c r="U218" s="3">
        <v>143.5</v>
      </c>
      <c r="V218" s="3">
        <v>425.9</v>
      </c>
      <c r="W218" t="s">
        <v>32</v>
      </c>
      <c r="X218" s="3">
        <v>133.6</v>
      </c>
      <c r="Y218" s="3">
        <v>135.30000000000001</v>
      </c>
      <c r="Z218" s="3">
        <v>136.1</v>
      </c>
      <c r="AA218" s="3">
        <v>132.1</v>
      </c>
      <c r="AB218" s="3">
        <v>119.1</v>
      </c>
      <c r="AC218" s="3">
        <v>130.6</v>
      </c>
      <c r="AD218" s="3">
        <v>138.6</v>
      </c>
      <c r="AE218" s="3">
        <v>124.4</v>
      </c>
      <c r="AF218" s="3">
        <v>128.6</v>
      </c>
      <c r="AG218" s="3">
        <v>638.79999999999995</v>
      </c>
      <c r="AH218" s="3">
        <v>136.19999999999999</v>
      </c>
      <c r="AI218" s="10" t="str">
        <f t="shared" si="3"/>
        <v>2017 July</v>
      </c>
    </row>
    <row r="219" spans="1:35">
      <c r="A219" t="s">
        <v>33</v>
      </c>
      <c r="B219">
        <v>2017</v>
      </c>
      <c r="C219" t="s">
        <v>40</v>
      </c>
      <c r="D219" s="3">
        <v>132.80000000000001</v>
      </c>
      <c r="E219" s="3">
        <v>148.4</v>
      </c>
      <c r="F219" s="3">
        <v>129.4</v>
      </c>
      <c r="G219" s="3">
        <v>137.69999999999999</v>
      </c>
      <c r="H219" s="3">
        <v>113.4</v>
      </c>
      <c r="I219" s="3">
        <v>139.4</v>
      </c>
      <c r="J219" s="3">
        <v>175.1</v>
      </c>
      <c r="K219" s="3">
        <v>124.7</v>
      </c>
      <c r="L219" s="3">
        <v>121.5</v>
      </c>
      <c r="M219" s="3">
        <v>137.80000000000001</v>
      </c>
      <c r="N219" s="3">
        <v>124.4</v>
      </c>
      <c r="O219" s="3">
        <v>143.69999999999999</v>
      </c>
      <c r="P219" s="3">
        <v>139.80000000000001</v>
      </c>
      <c r="Q219" s="3">
        <v>1768.1</v>
      </c>
      <c r="R219" s="3">
        <v>150.5</v>
      </c>
      <c r="S219" s="3">
        <v>131.6</v>
      </c>
      <c r="T219" s="3">
        <v>123.7</v>
      </c>
      <c r="U219" s="3">
        <v>130.4</v>
      </c>
      <c r="V219" s="3">
        <v>385.70000000000005</v>
      </c>
      <c r="W219">
        <v>132.6</v>
      </c>
      <c r="X219" s="3">
        <v>132.6</v>
      </c>
      <c r="Y219" s="3">
        <v>119.7</v>
      </c>
      <c r="Z219" s="3">
        <v>127.2</v>
      </c>
      <c r="AA219" s="3">
        <v>125</v>
      </c>
      <c r="AB219" s="3">
        <v>113.2</v>
      </c>
      <c r="AC219" s="3">
        <v>123.5</v>
      </c>
      <c r="AD219" s="3">
        <v>135.5</v>
      </c>
      <c r="AE219" s="3">
        <v>122.4</v>
      </c>
      <c r="AF219" s="3">
        <v>123</v>
      </c>
      <c r="AG219" s="3">
        <v>609.29999999999995</v>
      </c>
      <c r="AH219" s="3">
        <v>131.80000000000001</v>
      </c>
      <c r="AI219" s="10" t="str">
        <f t="shared" si="3"/>
        <v>2017 July</v>
      </c>
    </row>
    <row r="220" spans="1:35">
      <c r="A220" t="s">
        <v>30</v>
      </c>
      <c r="B220">
        <v>2017</v>
      </c>
      <c r="C220" t="s">
        <v>31</v>
      </c>
      <c r="D220" s="3">
        <v>133.1</v>
      </c>
      <c r="E220" s="3">
        <v>137.80000000000001</v>
      </c>
      <c r="F220" s="3">
        <v>131.9</v>
      </c>
      <c r="G220" s="3">
        <v>136.69999999999999</v>
      </c>
      <c r="H220" s="3">
        <v>122</v>
      </c>
      <c r="I220" s="3">
        <v>136</v>
      </c>
      <c r="J220" s="3">
        <v>119.8</v>
      </c>
      <c r="K220" s="3">
        <v>161.69999999999999</v>
      </c>
      <c r="L220" s="3">
        <v>114.8</v>
      </c>
      <c r="M220" s="3">
        <v>136.9</v>
      </c>
      <c r="N220" s="3">
        <v>129</v>
      </c>
      <c r="O220" s="3">
        <v>143.9</v>
      </c>
      <c r="P220" s="3">
        <v>133.69999999999999</v>
      </c>
      <c r="Q220" s="3">
        <v>1737.3000000000002</v>
      </c>
      <c r="R220" s="3">
        <v>143.1</v>
      </c>
      <c r="S220" s="3">
        <v>140.69999999999999</v>
      </c>
      <c r="T220" s="3">
        <v>135.80000000000001</v>
      </c>
      <c r="U220" s="3">
        <v>140</v>
      </c>
      <c r="V220" s="3">
        <v>416.5</v>
      </c>
      <c r="W220" t="s">
        <v>32</v>
      </c>
      <c r="X220" s="3">
        <v>133.6</v>
      </c>
      <c r="Y220" s="3">
        <v>132.1</v>
      </c>
      <c r="Z220" s="3">
        <v>133.19999999999999</v>
      </c>
      <c r="AA220" s="3">
        <v>129.9</v>
      </c>
      <c r="AB220" s="3">
        <v>119.1</v>
      </c>
      <c r="AC220" s="3">
        <v>127</v>
      </c>
      <c r="AD220" s="3">
        <v>134.6</v>
      </c>
      <c r="AE220" s="3">
        <v>122.3</v>
      </c>
      <c r="AF220" s="3">
        <v>126.6</v>
      </c>
      <c r="AG220" s="3">
        <v>628.19999999999993</v>
      </c>
      <c r="AH220" s="3">
        <v>132.4</v>
      </c>
      <c r="AI220" s="10" t="str">
        <f t="shared" si="3"/>
        <v>2017 January</v>
      </c>
    </row>
    <row r="221" spans="1:35">
      <c r="A221" t="s">
        <v>33</v>
      </c>
      <c r="B221">
        <v>2017</v>
      </c>
      <c r="C221" t="s">
        <v>31</v>
      </c>
      <c r="D221" s="3">
        <v>132.19999999999999</v>
      </c>
      <c r="E221" s="3">
        <v>138.9</v>
      </c>
      <c r="F221" s="3">
        <v>132.6</v>
      </c>
      <c r="G221" s="3">
        <v>133.1</v>
      </c>
      <c r="H221" s="3">
        <v>114</v>
      </c>
      <c r="I221" s="3">
        <v>129.6</v>
      </c>
      <c r="J221" s="3">
        <v>118.7</v>
      </c>
      <c r="K221" s="3">
        <v>155.1</v>
      </c>
      <c r="L221" s="3">
        <v>117.3</v>
      </c>
      <c r="M221" s="3">
        <v>144.9</v>
      </c>
      <c r="N221" s="3">
        <v>123.2</v>
      </c>
      <c r="O221" s="3">
        <v>141.6</v>
      </c>
      <c r="P221" s="3">
        <v>132</v>
      </c>
      <c r="Q221" s="3">
        <v>1713.2</v>
      </c>
      <c r="R221" s="3">
        <v>145.6</v>
      </c>
      <c r="S221" s="3">
        <v>130.19999999999999</v>
      </c>
      <c r="T221" s="3">
        <v>122.3</v>
      </c>
      <c r="U221" s="3">
        <v>129</v>
      </c>
      <c r="V221" s="3">
        <v>381.5</v>
      </c>
      <c r="W221">
        <v>129.6</v>
      </c>
      <c r="X221" s="3">
        <v>129.6</v>
      </c>
      <c r="Y221" s="3">
        <v>118</v>
      </c>
      <c r="Z221" s="3">
        <v>125.1</v>
      </c>
      <c r="AA221" s="3">
        <v>122.6</v>
      </c>
      <c r="AB221" s="3">
        <v>115.2</v>
      </c>
      <c r="AC221" s="3">
        <v>122</v>
      </c>
      <c r="AD221" s="3">
        <v>132.4</v>
      </c>
      <c r="AE221" s="3">
        <v>120.9</v>
      </c>
      <c r="AF221" s="3">
        <v>122.1</v>
      </c>
      <c r="AG221" s="3">
        <v>605.30000000000007</v>
      </c>
      <c r="AH221" s="3">
        <v>127.8</v>
      </c>
      <c r="AI221" s="10" t="str">
        <f t="shared" si="3"/>
        <v>2017 January</v>
      </c>
    </row>
    <row r="222" spans="1:35">
      <c r="A222" t="s">
        <v>30</v>
      </c>
      <c r="B222">
        <v>2017</v>
      </c>
      <c r="C222" t="s">
        <v>35</v>
      </c>
      <c r="D222" s="3">
        <v>133.30000000000001</v>
      </c>
      <c r="E222" s="3">
        <v>138.30000000000001</v>
      </c>
      <c r="F222" s="3">
        <v>129.30000000000001</v>
      </c>
      <c r="G222" s="3">
        <v>137.19999999999999</v>
      </c>
      <c r="H222" s="3">
        <v>122.1</v>
      </c>
      <c r="I222" s="3">
        <v>138.69999999999999</v>
      </c>
      <c r="J222" s="3">
        <v>119.1</v>
      </c>
      <c r="K222" s="3">
        <v>156.9</v>
      </c>
      <c r="L222" s="3">
        <v>116.2</v>
      </c>
      <c r="M222" s="3">
        <v>136</v>
      </c>
      <c r="N222" s="3">
        <v>129.4</v>
      </c>
      <c r="O222" s="3">
        <v>144.4</v>
      </c>
      <c r="P222" s="3">
        <v>133.6</v>
      </c>
      <c r="Q222" s="3">
        <v>1734.5000000000002</v>
      </c>
      <c r="R222" s="3">
        <v>143.69999999999999</v>
      </c>
      <c r="S222" s="3">
        <v>140.9</v>
      </c>
      <c r="T222" s="3">
        <v>135.80000000000001</v>
      </c>
      <c r="U222" s="3">
        <v>140.19999999999999</v>
      </c>
      <c r="V222" s="3">
        <v>416.90000000000003</v>
      </c>
      <c r="W222" t="s">
        <v>32</v>
      </c>
      <c r="X222" s="3">
        <v>133.6</v>
      </c>
      <c r="Y222" s="3">
        <v>133.19999999999999</v>
      </c>
      <c r="Z222" s="3">
        <v>133.6</v>
      </c>
      <c r="AA222" s="3">
        <v>130.1</v>
      </c>
      <c r="AB222" s="3">
        <v>119.5</v>
      </c>
      <c r="AC222" s="3">
        <v>127.7</v>
      </c>
      <c r="AD222" s="3">
        <v>134.9</v>
      </c>
      <c r="AE222" s="3">
        <v>123.2</v>
      </c>
      <c r="AF222" s="3">
        <v>127</v>
      </c>
      <c r="AG222" s="3">
        <v>631</v>
      </c>
      <c r="AH222" s="3">
        <v>132.6</v>
      </c>
      <c r="AI222" s="10" t="str">
        <f t="shared" si="3"/>
        <v>2017 February</v>
      </c>
    </row>
    <row r="223" spans="1:35">
      <c r="A223" t="s">
        <v>33</v>
      </c>
      <c r="B223">
        <v>2017</v>
      </c>
      <c r="C223" t="s">
        <v>35</v>
      </c>
      <c r="D223" s="3">
        <v>132.80000000000001</v>
      </c>
      <c r="E223" s="3">
        <v>139.80000000000001</v>
      </c>
      <c r="F223" s="3">
        <v>129.30000000000001</v>
      </c>
      <c r="G223" s="3">
        <v>133.5</v>
      </c>
      <c r="H223" s="3">
        <v>114.3</v>
      </c>
      <c r="I223" s="3">
        <v>131.4</v>
      </c>
      <c r="J223" s="3">
        <v>120.2</v>
      </c>
      <c r="K223" s="3">
        <v>143.1</v>
      </c>
      <c r="L223" s="3">
        <v>119.5</v>
      </c>
      <c r="M223" s="3">
        <v>144</v>
      </c>
      <c r="N223" s="3">
        <v>123.4</v>
      </c>
      <c r="O223" s="3">
        <v>141.9</v>
      </c>
      <c r="P223" s="3">
        <v>132.1</v>
      </c>
      <c r="Q223" s="3">
        <v>1705.3000000000002</v>
      </c>
      <c r="R223" s="3">
        <v>146.30000000000001</v>
      </c>
      <c r="S223" s="3">
        <v>130.5</v>
      </c>
      <c r="T223" s="3">
        <v>122.5</v>
      </c>
      <c r="U223" s="3">
        <v>129.30000000000001</v>
      </c>
      <c r="V223" s="3">
        <v>382.3</v>
      </c>
      <c r="W223">
        <v>130.5</v>
      </c>
      <c r="X223" s="3">
        <v>130.5</v>
      </c>
      <c r="Y223" s="3">
        <v>119.2</v>
      </c>
      <c r="Z223" s="3">
        <v>125.3</v>
      </c>
      <c r="AA223" s="3">
        <v>122.9</v>
      </c>
      <c r="AB223" s="3">
        <v>115.5</v>
      </c>
      <c r="AC223" s="3">
        <v>122.2</v>
      </c>
      <c r="AD223" s="3">
        <v>132.4</v>
      </c>
      <c r="AE223" s="3">
        <v>121.7</v>
      </c>
      <c r="AF223" s="3">
        <v>122.4</v>
      </c>
      <c r="AG223" s="3">
        <v>607.1</v>
      </c>
      <c r="AH223" s="3">
        <v>128.19999999999999</v>
      </c>
      <c r="AI223" s="10" t="str">
        <f t="shared" si="3"/>
        <v>2017 February</v>
      </c>
    </row>
    <row r="224" spans="1:35">
      <c r="A224" t="s">
        <v>30</v>
      </c>
      <c r="B224">
        <v>2017</v>
      </c>
      <c r="C224" t="s">
        <v>46</v>
      </c>
      <c r="D224" s="3">
        <v>136.4</v>
      </c>
      <c r="E224" s="3">
        <v>143.69999999999999</v>
      </c>
      <c r="F224" s="3">
        <v>144.80000000000001</v>
      </c>
      <c r="G224" s="3">
        <v>141.9</v>
      </c>
      <c r="H224" s="3">
        <v>123.1</v>
      </c>
      <c r="I224" s="3">
        <v>147.19999999999999</v>
      </c>
      <c r="J224" s="3">
        <v>161</v>
      </c>
      <c r="K224" s="3">
        <v>133.80000000000001</v>
      </c>
      <c r="L224" s="3">
        <v>121.9</v>
      </c>
      <c r="M224" s="3">
        <v>135.80000000000001</v>
      </c>
      <c r="N224" s="3">
        <v>131.1</v>
      </c>
      <c r="O224" s="3">
        <v>151.4</v>
      </c>
      <c r="P224" s="3">
        <v>141.5</v>
      </c>
      <c r="Q224" s="3">
        <v>1813.6000000000001</v>
      </c>
      <c r="R224" s="3">
        <v>153.19999999999999</v>
      </c>
      <c r="S224" s="3">
        <v>148</v>
      </c>
      <c r="T224" s="3">
        <v>141.9</v>
      </c>
      <c r="U224" s="3">
        <v>147.19999999999999</v>
      </c>
      <c r="V224" s="3">
        <v>437.09999999999997</v>
      </c>
      <c r="W224" t="s">
        <v>32</v>
      </c>
      <c r="X224" s="3">
        <v>133.6</v>
      </c>
      <c r="Y224" s="3">
        <v>142.6</v>
      </c>
      <c r="Z224" s="3">
        <v>139.5</v>
      </c>
      <c r="AA224" s="3">
        <v>136.1</v>
      </c>
      <c r="AB224" s="3">
        <v>122</v>
      </c>
      <c r="AC224" s="3">
        <v>133.4</v>
      </c>
      <c r="AD224" s="3">
        <v>141.1</v>
      </c>
      <c r="AE224" s="3">
        <v>127.8</v>
      </c>
      <c r="AF224" s="3">
        <v>131.9</v>
      </c>
      <c r="AG224" s="3">
        <v>654.59999999999991</v>
      </c>
      <c r="AH224" s="3">
        <v>139.80000000000001</v>
      </c>
      <c r="AI224" s="10" t="str">
        <f t="shared" si="3"/>
        <v>2017 December</v>
      </c>
    </row>
    <row r="225" spans="1:35">
      <c r="A225" t="s">
        <v>33</v>
      </c>
      <c r="B225">
        <v>2017</v>
      </c>
      <c r="C225" t="s">
        <v>46</v>
      </c>
      <c r="D225" s="3">
        <v>134.4</v>
      </c>
      <c r="E225" s="3">
        <v>142.6</v>
      </c>
      <c r="F225" s="3">
        <v>145.9</v>
      </c>
      <c r="G225" s="3">
        <v>139.5</v>
      </c>
      <c r="H225" s="3">
        <v>115.9</v>
      </c>
      <c r="I225" s="3">
        <v>135</v>
      </c>
      <c r="J225" s="3">
        <v>163.19999999999999</v>
      </c>
      <c r="K225" s="3">
        <v>119.8</v>
      </c>
      <c r="L225" s="3">
        <v>120.7</v>
      </c>
      <c r="M225" s="3">
        <v>139.69999999999999</v>
      </c>
      <c r="N225" s="3">
        <v>125.7</v>
      </c>
      <c r="O225" s="3">
        <v>146.30000000000001</v>
      </c>
      <c r="P225" s="3">
        <v>138.80000000000001</v>
      </c>
      <c r="Q225" s="3">
        <v>1767.5</v>
      </c>
      <c r="R225" s="3">
        <v>157</v>
      </c>
      <c r="S225" s="3">
        <v>135.6</v>
      </c>
      <c r="T225" s="3">
        <v>125.6</v>
      </c>
      <c r="U225" s="3">
        <v>134</v>
      </c>
      <c r="V225" s="3">
        <v>395.2</v>
      </c>
      <c r="W225">
        <v>139.1</v>
      </c>
      <c r="X225" s="3">
        <v>139.1</v>
      </c>
      <c r="Y225" s="3">
        <v>126.8</v>
      </c>
      <c r="Z225" s="3">
        <v>129.30000000000001</v>
      </c>
      <c r="AA225" s="3">
        <v>128.19999999999999</v>
      </c>
      <c r="AB225" s="3">
        <v>115.3</v>
      </c>
      <c r="AC225" s="3">
        <v>125.6</v>
      </c>
      <c r="AD225" s="3">
        <v>136.69999999999999</v>
      </c>
      <c r="AE225" s="3">
        <v>124.6</v>
      </c>
      <c r="AF225" s="3">
        <v>125.1</v>
      </c>
      <c r="AG225" s="3">
        <v>619.90000000000009</v>
      </c>
      <c r="AH225" s="3">
        <v>134.1</v>
      </c>
      <c r="AI225" s="10" t="str">
        <f t="shared" si="3"/>
        <v>2017 December</v>
      </c>
    </row>
    <row r="226" spans="1:35">
      <c r="A226" t="s">
        <v>30</v>
      </c>
      <c r="B226">
        <v>2017</v>
      </c>
      <c r="C226" t="s">
        <v>41</v>
      </c>
      <c r="D226" s="3">
        <v>134.80000000000001</v>
      </c>
      <c r="E226" s="3">
        <v>143.1</v>
      </c>
      <c r="F226" s="3">
        <v>130</v>
      </c>
      <c r="G226" s="3">
        <v>139.4</v>
      </c>
      <c r="H226" s="3">
        <v>120.5</v>
      </c>
      <c r="I226" s="3">
        <v>148</v>
      </c>
      <c r="J226" s="3">
        <v>162.9</v>
      </c>
      <c r="K226" s="3">
        <v>137.4</v>
      </c>
      <c r="L226" s="3">
        <v>120.8</v>
      </c>
      <c r="M226" s="3">
        <v>134.69999999999999</v>
      </c>
      <c r="N226" s="3">
        <v>131.6</v>
      </c>
      <c r="O226" s="3">
        <v>148.69999999999999</v>
      </c>
      <c r="P226" s="3">
        <v>140.6</v>
      </c>
      <c r="Q226" s="3">
        <v>1792.4999999999998</v>
      </c>
      <c r="R226" s="3">
        <v>149</v>
      </c>
      <c r="S226" s="3">
        <v>145.30000000000001</v>
      </c>
      <c r="T226" s="3">
        <v>139.19999999999999</v>
      </c>
      <c r="U226" s="3">
        <v>144.5</v>
      </c>
      <c r="V226" s="3">
        <v>429</v>
      </c>
      <c r="W226" t="s">
        <v>32</v>
      </c>
      <c r="X226" s="3">
        <v>133.6</v>
      </c>
      <c r="Y226" s="3">
        <v>136.4</v>
      </c>
      <c r="Z226" s="3">
        <v>137.30000000000001</v>
      </c>
      <c r="AA226" s="3">
        <v>133</v>
      </c>
      <c r="AB226" s="3">
        <v>120.3</v>
      </c>
      <c r="AC226" s="3">
        <v>131.5</v>
      </c>
      <c r="AD226" s="3">
        <v>140.19999999999999</v>
      </c>
      <c r="AE226" s="3">
        <v>125.4</v>
      </c>
      <c r="AF226" s="3">
        <v>129.69999999999999</v>
      </c>
      <c r="AG226" s="3">
        <v>644.20000000000005</v>
      </c>
      <c r="AH226" s="3">
        <v>137.80000000000001</v>
      </c>
      <c r="AI226" s="10" t="str">
        <f t="shared" si="3"/>
        <v>2017 August</v>
      </c>
    </row>
    <row r="227" spans="1:35">
      <c r="A227" t="s">
        <v>33</v>
      </c>
      <c r="B227">
        <v>2017</v>
      </c>
      <c r="C227" t="s">
        <v>41</v>
      </c>
      <c r="D227" s="3">
        <v>133.19999999999999</v>
      </c>
      <c r="E227" s="3">
        <v>143.9</v>
      </c>
      <c r="F227" s="3">
        <v>128.30000000000001</v>
      </c>
      <c r="G227" s="3">
        <v>138.30000000000001</v>
      </c>
      <c r="H227" s="3">
        <v>114.1</v>
      </c>
      <c r="I227" s="3">
        <v>142.69999999999999</v>
      </c>
      <c r="J227" s="3">
        <v>179.8</v>
      </c>
      <c r="K227" s="3">
        <v>123.5</v>
      </c>
      <c r="L227" s="3">
        <v>122.1</v>
      </c>
      <c r="M227" s="3">
        <v>137.5</v>
      </c>
      <c r="N227" s="3">
        <v>124.6</v>
      </c>
      <c r="O227" s="3">
        <v>144.5</v>
      </c>
      <c r="P227" s="3">
        <v>140.5</v>
      </c>
      <c r="Q227" s="3">
        <v>1772.9999999999998</v>
      </c>
      <c r="R227" s="3">
        <v>152.1</v>
      </c>
      <c r="S227" s="3">
        <v>132.69999999999999</v>
      </c>
      <c r="T227" s="3">
        <v>124.3</v>
      </c>
      <c r="U227" s="3">
        <v>131.4</v>
      </c>
      <c r="V227" s="3">
        <v>388.4</v>
      </c>
      <c r="W227">
        <v>134.4</v>
      </c>
      <c r="X227" s="3">
        <v>134.4</v>
      </c>
      <c r="Y227" s="3">
        <v>118.9</v>
      </c>
      <c r="Z227" s="3">
        <v>127.7</v>
      </c>
      <c r="AA227" s="3">
        <v>125.7</v>
      </c>
      <c r="AB227" s="3">
        <v>114.6</v>
      </c>
      <c r="AC227" s="3">
        <v>124.1</v>
      </c>
      <c r="AD227" s="3">
        <v>135.69999999999999</v>
      </c>
      <c r="AE227" s="3">
        <v>123.3</v>
      </c>
      <c r="AF227" s="3">
        <v>123.8</v>
      </c>
      <c r="AG227" s="3">
        <v>613.5</v>
      </c>
      <c r="AH227" s="3">
        <v>132.69999999999999</v>
      </c>
      <c r="AI227" s="10" t="str">
        <f t="shared" si="3"/>
        <v>2017 August</v>
      </c>
    </row>
    <row r="228" spans="1:35">
      <c r="A228" t="s">
        <v>30</v>
      </c>
      <c r="B228">
        <v>2017</v>
      </c>
      <c r="C228" t="s">
        <v>37</v>
      </c>
      <c r="D228" s="3">
        <v>133.19999999999999</v>
      </c>
      <c r="E228" s="3">
        <v>138.69999999999999</v>
      </c>
      <c r="F228" s="3">
        <v>127.1</v>
      </c>
      <c r="G228" s="3">
        <v>137.69999999999999</v>
      </c>
      <c r="H228" s="3">
        <v>121.3</v>
      </c>
      <c r="I228" s="3">
        <v>141.80000000000001</v>
      </c>
      <c r="J228" s="3">
        <v>121.5</v>
      </c>
      <c r="K228" s="3">
        <v>144.5</v>
      </c>
      <c r="L228" s="3">
        <v>117.4</v>
      </c>
      <c r="M228" s="3">
        <v>134.1</v>
      </c>
      <c r="N228" s="3">
        <v>130</v>
      </c>
      <c r="O228" s="3">
        <v>145.5</v>
      </c>
      <c r="P228" s="3">
        <v>133.5</v>
      </c>
      <c r="Q228" s="3">
        <v>1726.3</v>
      </c>
      <c r="R228" s="3">
        <v>144.4</v>
      </c>
      <c r="S228" s="3">
        <v>142.4</v>
      </c>
      <c r="T228" s="3">
        <v>136.80000000000001</v>
      </c>
      <c r="U228" s="3">
        <v>141.6</v>
      </c>
      <c r="V228" s="3">
        <v>420.80000000000007</v>
      </c>
      <c r="W228" t="s">
        <v>32</v>
      </c>
      <c r="X228" s="3">
        <v>133.6</v>
      </c>
      <c r="Y228" s="3">
        <v>135</v>
      </c>
      <c r="Z228" s="3">
        <v>134.30000000000001</v>
      </c>
      <c r="AA228" s="3">
        <v>131</v>
      </c>
      <c r="AB228" s="3">
        <v>119.2</v>
      </c>
      <c r="AC228" s="3">
        <v>128.30000000000001</v>
      </c>
      <c r="AD228" s="3">
        <v>135.69999999999999</v>
      </c>
      <c r="AE228" s="3">
        <v>123.7</v>
      </c>
      <c r="AF228" s="3">
        <v>127.5</v>
      </c>
      <c r="AG228" s="3">
        <v>633</v>
      </c>
      <c r="AH228" s="3">
        <v>132.9</v>
      </c>
      <c r="AI228" s="10" t="str">
        <f t="shared" si="3"/>
        <v>2017 April</v>
      </c>
    </row>
    <row r="229" spans="1:35">
      <c r="A229" t="s">
        <v>33</v>
      </c>
      <c r="B229">
        <v>2017</v>
      </c>
      <c r="C229" t="s">
        <v>37</v>
      </c>
      <c r="D229" s="3">
        <v>132.69999999999999</v>
      </c>
      <c r="E229" s="3">
        <v>140.6</v>
      </c>
      <c r="F229" s="3">
        <v>124.5</v>
      </c>
      <c r="G229" s="3">
        <v>136.30000000000001</v>
      </c>
      <c r="H229" s="3">
        <v>113.5</v>
      </c>
      <c r="I229" s="3">
        <v>137.69999999999999</v>
      </c>
      <c r="J229" s="3">
        <v>127.1</v>
      </c>
      <c r="K229" s="3">
        <v>133.80000000000001</v>
      </c>
      <c r="L229" s="3">
        <v>120.8</v>
      </c>
      <c r="M229" s="3">
        <v>141.30000000000001</v>
      </c>
      <c r="N229" s="3">
        <v>123.8</v>
      </c>
      <c r="O229" s="3">
        <v>142.6</v>
      </c>
      <c r="P229" s="3">
        <v>133.4</v>
      </c>
      <c r="Q229" s="3">
        <v>1708.1</v>
      </c>
      <c r="R229" s="3">
        <v>148</v>
      </c>
      <c r="S229" s="3">
        <v>131.19999999999999</v>
      </c>
      <c r="T229" s="3">
        <v>123</v>
      </c>
      <c r="U229" s="3">
        <v>130</v>
      </c>
      <c r="V229" s="3">
        <v>384.2</v>
      </c>
      <c r="W229">
        <v>131.69999999999999</v>
      </c>
      <c r="X229" s="3">
        <v>131.69999999999999</v>
      </c>
      <c r="Y229" s="3">
        <v>121.4</v>
      </c>
      <c r="Z229" s="3">
        <v>126</v>
      </c>
      <c r="AA229" s="3">
        <v>123.4</v>
      </c>
      <c r="AB229" s="3">
        <v>114.3</v>
      </c>
      <c r="AC229" s="3">
        <v>122.6</v>
      </c>
      <c r="AD229" s="3">
        <v>133.6</v>
      </c>
      <c r="AE229" s="3">
        <v>122.2</v>
      </c>
      <c r="AF229" s="3">
        <v>122.5</v>
      </c>
      <c r="AG229" s="3">
        <v>607.59999999999991</v>
      </c>
      <c r="AH229" s="3">
        <v>129.1</v>
      </c>
      <c r="AI229" s="10" t="str">
        <f t="shared" si="3"/>
        <v>2017 April</v>
      </c>
    </row>
    <row r="230" spans="1:35">
      <c r="A230" t="s">
        <v>34</v>
      </c>
      <c r="B230">
        <v>2016</v>
      </c>
      <c r="C230" t="s">
        <v>42</v>
      </c>
      <c r="D230" s="3">
        <v>129.9</v>
      </c>
      <c r="E230" s="3">
        <v>138</v>
      </c>
      <c r="F230" s="3">
        <v>130.5</v>
      </c>
      <c r="G230" s="3">
        <v>134.4</v>
      </c>
      <c r="H230" s="3">
        <v>117.2</v>
      </c>
      <c r="I230" s="3">
        <v>136.1</v>
      </c>
      <c r="J230" s="3">
        <v>150.69999999999999</v>
      </c>
      <c r="K230" s="3">
        <v>171.5</v>
      </c>
      <c r="L230" s="3">
        <v>113.8</v>
      </c>
      <c r="M230" s="3">
        <v>138.80000000000001</v>
      </c>
      <c r="N230" s="3">
        <v>126</v>
      </c>
      <c r="O230" s="3">
        <v>140.19999999999999</v>
      </c>
      <c r="P230" s="3">
        <v>136.6</v>
      </c>
      <c r="Q230" s="3">
        <v>1763.6999999999998</v>
      </c>
      <c r="R230" s="3">
        <v>141</v>
      </c>
      <c r="S230" s="3">
        <v>134.6</v>
      </c>
      <c r="T230" s="3">
        <v>128.6</v>
      </c>
      <c r="U230" s="3">
        <v>133.80000000000001</v>
      </c>
      <c r="V230" s="3">
        <v>397</v>
      </c>
      <c r="W230">
        <v>127.9</v>
      </c>
      <c r="X230" s="3">
        <v>127.9</v>
      </c>
      <c r="Y230" s="3">
        <v>124.1</v>
      </c>
      <c r="Z230" s="3">
        <v>127.9</v>
      </c>
      <c r="AA230" s="3">
        <v>125.4</v>
      </c>
      <c r="AB230" s="3">
        <v>114.3</v>
      </c>
      <c r="AC230" s="3">
        <v>122.9</v>
      </c>
      <c r="AD230" s="3">
        <v>131.80000000000001</v>
      </c>
      <c r="AE230" s="3">
        <v>122.1</v>
      </c>
      <c r="AF230" s="3">
        <v>122.8</v>
      </c>
      <c r="AG230" s="3">
        <v>610</v>
      </c>
      <c r="AH230" s="3">
        <v>130.9</v>
      </c>
      <c r="AI230" s="10" t="str">
        <f t="shared" si="3"/>
        <v>2016 September</v>
      </c>
    </row>
    <row r="231" spans="1:35">
      <c r="A231" t="s">
        <v>34</v>
      </c>
      <c r="B231">
        <v>2016</v>
      </c>
      <c r="C231" t="s">
        <v>43</v>
      </c>
      <c r="D231" s="3">
        <v>130.5</v>
      </c>
      <c r="E231" s="3">
        <v>137.9</v>
      </c>
      <c r="F231" s="3">
        <v>130.19999999999999</v>
      </c>
      <c r="G231" s="3">
        <v>134.80000000000001</v>
      </c>
      <c r="H231" s="3">
        <v>117.8</v>
      </c>
      <c r="I231" s="3">
        <v>134.69999999999999</v>
      </c>
      <c r="J231" s="3">
        <v>151.19999999999999</v>
      </c>
      <c r="K231" s="3">
        <v>172.1</v>
      </c>
      <c r="L231" s="3">
        <v>114.1</v>
      </c>
      <c r="M231" s="3">
        <v>139.30000000000001</v>
      </c>
      <c r="N231" s="3">
        <v>126.1</v>
      </c>
      <c r="O231" s="3">
        <v>141.1</v>
      </c>
      <c r="P231" s="3">
        <v>137</v>
      </c>
      <c r="Q231" s="3">
        <v>1766.7999999999995</v>
      </c>
      <c r="R231" s="3">
        <v>141.80000000000001</v>
      </c>
      <c r="S231" s="3">
        <v>135.5</v>
      </c>
      <c r="T231" s="3">
        <v>129.1</v>
      </c>
      <c r="U231" s="3">
        <v>134.5</v>
      </c>
      <c r="V231" s="3">
        <v>399.1</v>
      </c>
      <c r="W231">
        <v>128.69999999999999</v>
      </c>
      <c r="X231" s="3">
        <v>128.69999999999999</v>
      </c>
      <c r="Y231" s="3">
        <v>124.3</v>
      </c>
      <c r="Z231" s="3">
        <v>128.4</v>
      </c>
      <c r="AA231" s="3">
        <v>126.1</v>
      </c>
      <c r="AB231" s="3">
        <v>115.2</v>
      </c>
      <c r="AC231" s="3">
        <v>123.5</v>
      </c>
      <c r="AD231" s="3">
        <v>132.4</v>
      </c>
      <c r="AE231" s="3">
        <v>122.1</v>
      </c>
      <c r="AF231" s="3">
        <v>123.4</v>
      </c>
      <c r="AG231" s="3">
        <v>612.6</v>
      </c>
      <c r="AH231" s="3">
        <v>131.4</v>
      </c>
      <c r="AI231" s="10" t="str">
        <f t="shared" si="3"/>
        <v>2016 October</v>
      </c>
    </row>
    <row r="232" spans="1:35">
      <c r="A232" t="s">
        <v>34</v>
      </c>
      <c r="B232">
        <v>2016</v>
      </c>
      <c r="C232" t="s">
        <v>45</v>
      </c>
      <c r="D232" s="3">
        <v>131.4</v>
      </c>
      <c r="E232" s="3">
        <v>137.80000000000001</v>
      </c>
      <c r="F232" s="3">
        <v>132</v>
      </c>
      <c r="G232" s="3">
        <v>135</v>
      </c>
      <c r="H232" s="3">
        <v>118</v>
      </c>
      <c r="I232" s="3">
        <v>134.1</v>
      </c>
      <c r="J232" s="3">
        <v>141.9</v>
      </c>
      <c r="K232" s="3">
        <v>171.7</v>
      </c>
      <c r="L232" s="3">
        <v>114.1</v>
      </c>
      <c r="M232" s="3">
        <v>139.69999999999999</v>
      </c>
      <c r="N232" s="3">
        <v>126.2</v>
      </c>
      <c r="O232" s="3">
        <v>141.80000000000001</v>
      </c>
      <c r="P232" s="3">
        <v>136.1</v>
      </c>
      <c r="Q232" s="3">
        <v>1759.8</v>
      </c>
      <c r="R232" s="3">
        <v>142</v>
      </c>
      <c r="S232" s="3">
        <v>135.80000000000001</v>
      </c>
      <c r="T232" s="3">
        <v>129.30000000000001</v>
      </c>
      <c r="U232" s="3">
        <v>135</v>
      </c>
      <c r="V232" s="3">
        <v>400.1</v>
      </c>
      <c r="W232">
        <v>129.1</v>
      </c>
      <c r="X232" s="3">
        <v>129.1</v>
      </c>
      <c r="Y232" s="3">
        <v>125</v>
      </c>
      <c r="Z232" s="3">
        <v>128.6</v>
      </c>
      <c r="AA232" s="3">
        <v>126.4</v>
      </c>
      <c r="AB232" s="3">
        <v>115.7</v>
      </c>
      <c r="AC232" s="3">
        <v>124</v>
      </c>
      <c r="AD232" s="3">
        <v>132.80000000000001</v>
      </c>
      <c r="AE232" s="3">
        <v>122.6</v>
      </c>
      <c r="AF232" s="3">
        <v>123.8</v>
      </c>
      <c r="AG232" s="3">
        <v>614.69999999999993</v>
      </c>
      <c r="AH232" s="3">
        <v>131.19999999999999</v>
      </c>
      <c r="AI232" s="10" t="str">
        <f t="shared" si="3"/>
        <v>2016 November</v>
      </c>
    </row>
    <row r="233" spans="1:35">
      <c r="A233" t="s">
        <v>34</v>
      </c>
      <c r="B233">
        <v>2016</v>
      </c>
      <c r="C233" t="s">
        <v>38</v>
      </c>
      <c r="D233" s="3">
        <v>126.8</v>
      </c>
      <c r="E233" s="3">
        <v>139.1</v>
      </c>
      <c r="F233" s="3">
        <v>125.4</v>
      </c>
      <c r="G233" s="3">
        <v>131.69999999999999</v>
      </c>
      <c r="H233" s="3">
        <v>115</v>
      </c>
      <c r="I233" s="3">
        <v>136</v>
      </c>
      <c r="J233" s="3">
        <v>145.1</v>
      </c>
      <c r="K233" s="3">
        <v>171.7</v>
      </c>
      <c r="L233" s="3">
        <v>108.7</v>
      </c>
      <c r="M233" s="3">
        <v>135.30000000000001</v>
      </c>
      <c r="N233" s="3">
        <v>124.2</v>
      </c>
      <c r="O233" s="3">
        <v>137.4</v>
      </c>
      <c r="P233" s="3">
        <v>134</v>
      </c>
      <c r="Q233" s="3">
        <v>1730.4</v>
      </c>
      <c r="R233" s="3">
        <v>137.69999999999999</v>
      </c>
      <c r="S233" s="3">
        <v>132.19999999999999</v>
      </c>
      <c r="T233" s="3">
        <v>126.8</v>
      </c>
      <c r="U233" s="3">
        <v>131.4</v>
      </c>
      <c r="V233" s="3">
        <v>390.4</v>
      </c>
      <c r="W233">
        <v>126</v>
      </c>
      <c r="X233" s="3">
        <v>126</v>
      </c>
      <c r="Y233" s="3">
        <v>122.7</v>
      </c>
      <c r="Z233" s="3">
        <v>126</v>
      </c>
      <c r="AA233" s="3">
        <v>123.7</v>
      </c>
      <c r="AB233" s="3">
        <v>112.8</v>
      </c>
      <c r="AC233" s="3">
        <v>121.5</v>
      </c>
      <c r="AD233" s="3">
        <v>128.5</v>
      </c>
      <c r="AE233" s="3">
        <v>119.2</v>
      </c>
      <c r="AF233" s="3">
        <v>120.7</v>
      </c>
      <c r="AG233" s="3">
        <v>600.20000000000005</v>
      </c>
      <c r="AH233" s="3">
        <v>128.6</v>
      </c>
      <c r="AI233" s="10" t="str">
        <f t="shared" si="3"/>
        <v>2016 May</v>
      </c>
    </row>
    <row r="234" spans="1:35">
      <c r="A234" t="s">
        <v>34</v>
      </c>
      <c r="B234">
        <v>2016</v>
      </c>
      <c r="C234" t="s">
        <v>36</v>
      </c>
      <c r="D234" s="3">
        <v>126.5</v>
      </c>
      <c r="E234" s="3">
        <v>135.1</v>
      </c>
      <c r="F234" s="3">
        <v>124.6</v>
      </c>
      <c r="G234" s="3">
        <v>130.19999999999999</v>
      </c>
      <c r="H234" s="3">
        <v>114.5</v>
      </c>
      <c r="I234" s="3">
        <v>126.2</v>
      </c>
      <c r="J234" s="3">
        <v>129.80000000000001</v>
      </c>
      <c r="K234" s="3">
        <v>164.3</v>
      </c>
      <c r="L234" s="3">
        <v>100.9</v>
      </c>
      <c r="M234" s="3">
        <v>133.9</v>
      </c>
      <c r="N234" s="3">
        <v>123.1</v>
      </c>
      <c r="O234" s="3">
        <v>136.30000000000001</v>
      </c>
      <c r="P234" s="3">
        <v>129.80000000000001</v>
      </c>
      <c r="Q234" s="3">
        <v>1675.2</v>
      </c>
      <c r="R234" s="3">
        <v>136.5</v>
      </c>
      <c r="S234" s="3">
        <v>131.30000000000001</v>
      </c>
      <c r="T234" s="3">
        <v>126.1</v>
      </c>
      <c r="U234" s="3">
        <v>130.5</v>
      </c>
      <c r="V234" s="3">
        <v>387.9</v>
      </c>
      <c r="W234">
        <v>124.9</v>
      </c>
      <c r="X234" s="3">
        <v>124.9</v>
      </c>
      <c r="Y234" s="3">
        <v>122.4</v>
      </c>
      <c r="Z234" s="3">
        <v>125.1</v>
      </c>
      <c r="AA234" s="3">
        <v>122.9</v>
      </c>
      <c r="AB234" s="3">
        <v>110.9</v>
      </c>
      <c r="AC234" s="3">
        <v>120.6</v>
      </c>
      <c r="AD234" s="3">
        <v>126.9</v>
      </c>
      <c r="AE234" s="3">
        <v>117.3</v>
      </c>
      <c r="AF234" s="3">
        <v>119.3</v>
      </c>
      <c r="AG234" s="3">
        <v>593.20000000000005</v>
      </c>
      <c r="AH234" s="3">
        <v>126</v>
      </c>
      <c r="AI234" s="10" t="str">
        <f t="shared" si="3"/>
        <v>2016 March</v>
      </c>
    </row>
    <row r="235" spans="1:35">
      <c r="A235" t="s">
        <v>34</v>
      </c>
      <c r="B235">
        <v>2016</v>
      </c>
      <c r="C235" t="s">
        <v>39</v>
      </c>
      <c r="D235" s="3">
        <v>127.7</v>
      </c>
      <c r="E235" s="3">
        <v>140.5</v>
      </c>
      <c r="F235" s="3">
        <v>128.30000000000001</v>
      </c>
      <c r="G235" s="3">
        <v>132.6</v>
      </c>
      <c r="H235" s="3">
        <v>115.5</v>
      </c>
      <c r="I235" s="3">
        <v>136.5</v>
      </c>
      <c r="J235" s="3">
        <v>159.69999999999999</v>
      </c>
      <c r="K235" s="3">
        <v>174.3</v>
      </c>
      <c r="L235" s="3">
        <v>109.9</v>
      </c>
      <c r="M235" s="3">
        <v>136.30000000000001</v>
      </c>
      <c r="N235" s="3">
        <v>124.4</v>
      </c>
      <c r="O235" s="3">
        <v>138.1</v>
      </c>
      <c r="P235" s="3">
        <v>136.80000000000001</v>
      </c>
      <c r="Q235" s="3">
        <v>1760.6</v>
      </c>
      <c r="R235" s="3">
        <v>138.69999999999999</v>
      </c>
      <c r="S235" s="3">
        <v>132.9</v>
      </c>
      <c r="T235" s="3">
        <v>127.2</v>
      </c>
      <c r="U235" s="3">
        <v>132</v>
      </c>
      <c r="V235" s="3">
        <v>392.1</v>
      </c>
      <c r="W235">
        <v>125.5</v>
      </c>
      <c r="X235" s="3">
        <v>125.5</v>
      </c>
      <c r="Y235" s="3">
        <v>123.3</v>
      </c>
      <c r="Z235" s="3">
        <v>126.4</v>
      </c>
      <c r="AA235" s="3">
        <v>124.1</v>
      </c>
      <c r="AB235" s="3">
        <v>114.2</v>
      </c>
      <c r="AC235" s="3">
        <v>121.7</v>
      </c>
      <c r="AD235" s="3">
        <v>129.69999999999999</v>
      </c>
      <c r="AE235" s="3">
        <v>119.4</v>
      </c>
      <c r="AF235" s="3">
        <v>121.5</v>
      </c>
      <c r="AG235" s="3">
        <v>603.20000000000005</v>
      </c>
      <c r="AH235" s="3">
        <v>130.1</v>
      </c>
      <c r="AI235" s="10" t="str">
        <f t="shared" si="3"/>
        <v>2016 June</v>
      </c>
    </row>
    <row r="236" spans="1:35">
      <c r="A236" t="s">
        <v>34</v>
      </c>
      <c r="B236">
        <v>2016</v>
      </c>
      <c r="C236" t="s">
        <v>40</v>
      </c>
      <c r="D236" s="3">
        <v>128.5</v>
      </c>
      <c r="E236" s="3">
        <v>141.19999999999999</v>
      </c>
      <c r="F236" s="3">
        <v>132.30000000000001</v>
      </c>
      <c r="G236" s="3">
        <v>133.5</v>
      </c>
      <c r="H236" s="3">
        <v>116.4</v>
      </c>
      <c r="I236" s="3">
        <v>137.80000000000001</v>
      </c>
      <c r="J236" s="3">
        <v>165.4</v>
      </c>
      <c r="K236" s="3">
        <v>177.4</v>
      </c>
      <c r="L236" s="3">
        <v>111.3</v>
      </c>
      <c r="M236" s="3">
        <v>137.5</v>
      </c>
      <c r="N236" s="3">
        <v>125</v>
      </c>
      <c r="O236" s="3">
        <v>138.80000000000001</v>
      </c>
      <c r="P236" s="3">
        <v>138.4</v>
      </c>
      <c r="Q236" s="3">
        <v>1783.5</v>
      </c>
      <c r="R236" s="3">
        <v>139.30000000000001</v>
      </c>
      <c r="S236" s="3">
        <v>133.5</v>
      </c>
      <c r="T236" s="3">
        <v>127.6</v>
      </c>
      <c r="U236" s="3">
        <v>132.69999999999999</v>
      </c>
      <c r="V236" s="3">
        <v>393.8</v>
      </c>
      <c r="W236">
        <v>126.4</v>
      </c>
      <c r="X236" s="3">
        <v>126.4</v>
      </c>
      <c r="Y236" s="3">
        <v>123.4</v>
      </c>
      <c r="Z236" s="3">
        <v>126.9</v>
      </c>
      <c r="AA236" s="3">
        <v>124.5</v>
      </c>
      <c r="AB236" s="3">
        <v>113.9</v>
      </c>
      <c r="AC236" s="3">
        <v>122.4</v>
      </c>
      <c r="AD236" s="3">
        <v>130.80000000000001</v>
      </c>
      <c r="AE236" s="3">
        <v>120.5</v>
      </c>
      <c r="AF236" s="3">
        <v>121.9</v>
      </c>
      <c r="AG236" s="3">
        <v>605.6</v>
      </c>
      <c r="AH236" s="3">
        <v>131.1</v>
      </c>
      <c r="AI236" s="10" t="str">
        <f t="shared" si="3"/>
        <v>2016 July</v>
      </c>
    </row>
    <row r="237" spans="1:35">
      <c r="A237" t="s">
        <v>34</v>
      </c>
      <c r="B237">
        <v>2016</v>
      </c>
      <c r="C237" t="s">
        <v>31</v>
      </c>
      <c r="D237" s="3">
        <v>126.1</v>
      </c>
      <c r="E237" s="3">
        <v>134.1</v>
      </c>
      <c r="F237" s="3">
        <v>128.6</v>
      </c>
      <c r="G237" s="3">
        <v>129.9</v>
      </c>
      <c r="H237" s="3">
        <v>115.5</v>
      </c>
      <c r="I237" s="3">
        <v>125.7</v>
      </c>
      <c r="J237" s="3">
        <v>141.5</v>
      </c>
      <c r="K237" s="3">
        <v>170.7</v>
      </c>
      <c r="L237" s="3">
        <v>97.4</v>
      </c>
      <c r="M237" s="3">
        <v>132.9</v>
      </c>
      <c r="N237" s="3">
        <v>122.7</v>
      </c>
      <c r="O237" s="3">
        <v>135.30000000000001</v>
      </c>
      <c r="P237" s="3">
        <v>131.30000000000001</v>
      </c>
      <c r="Q237" s="3">
        <v>1691.7</v>
      </c>
      <c r="R237" s="3">
        <v>135.19999999999999</v>
      </c>
      <c r="S237" s="3">
        <v>130.30000000000001</v>
      </c>
      <c r="T237" s="3">
        <v>125.1</v>
      </c>
      <c r="U237" s="3">
        <v>129.5</v>
      </c>
      <c r="V237" s="3">
        <v>384.9</v>
      </c>
      <c r="W237">
        <v>123.4</v>
      </c>
      <c r="X237" s="3">
        <v>123.4</v>
      </c>
      <c r="Y237" s="3">
        <v>122.7</v>
      </c>
      <c r="Z237" s="3">
        <v>124.2</v>
      </c>
      <c r="AA237" s="3">
        <v>122</v>
      </c>
      <c r="AB237" s="3">
        <v>111.1</v>
      </c>
      <c r="AC237" s="3">
        <v>119.8</v>
      </c>
      <c r="AD237" s="3">
        <v>126.3</v>
      </c>
      <c r="AE237" s="3">
        <v>114.5</v>
      </c>
      <c r="AF237" s="3">
        <v>118.5</v>
      </c>
      <c r="AG237" s="3">
        <v>588.1</v>
      </c>
      <c r="AH237" s="3">
        <v>126.3</v>
      </c>
      <c r="AI237" s="10" t="str">
        <f t="shared" si="3"/>
        <v>2016 January</v>
      </c>
    </row>
    <row r="238" spans="1:35">
      <c r="A238" t="s">
        <v>34</v>
      </c>
      <c r="B238">
        <v>2016</v>
      </c>
      <c r="C238" t="s">
        <v>35</v>
      </c>
      <c r="D238" s="3">
        <v>126.4</v>
      </c>
      <c r="E238" s="3">
        <v>134.19999999999999</v>
      </c>
      <c r="F238" s="3">
        <v>128.69999999999999</v>
      </c>
      <c r="G238" s="3">
        <v>130.30000000000001</v>
      </c>
      <c r="H238" s="3">
        <v>114.8</v>
      </c>
      <c r="I238" s="3">
        <v>124.9</v>
      </c>
      <c r="J238" s="3">
        <v>130.30000000000001</v>
      </c>
      <c r="K238" s="3">
        <v>167.4</v>
      </c>
      <c r="L238" s="3">
        <v>98.8</v>
      </c>
      <c r="M238" s="3">
        <v>133.6</v>
      </c>
      <c r="N238" s="3">
        <v>123</v>
      </c>
      <c r="O238" s="3">
        <v>135.80000000000001</v>
      </c>
      <c r="P238" s="3">
        <v>129.9</v>
      </c>
      <c r="Q238" s="3">
        <v>1678.1</v>
      </c>
      <c r="R238" s="3">
        <v>135.9</v>
      </c>
      <c r="S238" s="3">
        <v>130.9</v>
      </c>
      <c r="T238" s="3">
        <v>125.8</v>
      </c>
      <c r="U238" s="3">
        <v>130.19999999999999</v>
      </c>
      <c r="V238" s="3">
        <v>386.9</v>
      </c>
      <c r="W238">
        <v>124.4</v>
      </c>
      <c r="X238" s="3">
        <v>124.4</v>
      </c>
      <c r="Y238" s="3">
        <v>123.1</v>
      </c>
      <c r="Z238" s="3">
        <v>124.6</v>
      </c>
      <c r="AA238" s="3">
        <v>122.5</v>
      </c>
      <c r="AB238" s="3">
        <v>111.4</v>
      </c>
      <c r="AC238" s="3">
        <v>120.3</v>
      </c>
      <c r="AD238" s="3">
        <v>126.6</v>
      </c>
      <c r="AE238" s="3">
        <v>116.6</v>
      </c>
      <c r="AF238" s="3">
        <v>119.1</v>
      </c>
      <c r="AG238" s="3">
        <v>592</v>
      </c>
      <c r="AH238" s="3">
        <v>126</v>
      </c>
      <c r="AI238" s="10" t="str">
        <f t="shared" si="3"/>
        <v>2016 February</v>
      </c>
    </row>
    <row r="239" spans="1:35">
      <c r="A239" t="s">
        <v>34</v>
      </c>
      <c r="B239">
        <v>2016</v>
      </c>
      <c r="C239" t="s">
        <v>46</v>
      </c>
      <c r="D239" s="3">
        <v>132.30000000000001</v>
      </c>
      <c r="E239" s="3">
        <v>137.6</v>
      </c>
      <c r="F239" s="3">
        <v>132.9</v>
      </c>
      <c r="G239" s="3">
        <v>135.1</v>
      </c>
      <c r="H239" s="3">
        <v>118.6</v>
      </c>
      <c r="I239" s="3">
        <v>132.69999999999999</v>
      </c>
      <c r="J239" s="3">
        <v>125.3</v>
      </c>
      <c r="K239" s="3">
        <v>168.7</v>
      </c>
      <c r="L239" s="3">
        <v>114.4</v>
      </c>
      <c r="M239" s="3">
        <v>140.19999999999999</v>
      </c>
      <c r="N239" s="3">
        <v>126.6</v>
      </c>
      <c r="O239" s="3">
        <v>142.30000000000001</v>
      </c>
      <c r="P239" s="3">
        <v>134</v>
      </c>
      <c r="Q239" s="3">
        <v>1740.7</v>
      </c>
      <c r="R239" s="3">
        <v>143.1</v>
      </c>
      <c r="S239" s="3">
        <v>136.30000000000001</v>
      </c>
      <c r="T239" s="3">
        <v>129.80000000000001</v>
      </c>
      <c r="U239" s="3">
        <v>135.4</v>
      </c>
      <c r="V239" s="3">
        <v>401.5</v>
      </c>
      <c r="W239">
        <v>128.5</v>
      </c>
      <c r="X239" s="3">
        <v>128.5</v>
      </c>
      <c r="Y239" s="3">
        <v>126.6</v>
      </c>
      <c r="Z239" s="3">
        <v>129.19999999999999</v>
      </c>
      <c r="AA239" s="3">
        <v>126.9</v>
      </c>
      <c r="AB239" s="3">
        <v>116</v>
      </c>
      <c r="AC239" s="3">
        <v>124.2</v>
      </c>
      <c r="AD239" s="3">
        <v>133.1</v>
      </c>
      <c r="AE239" s="3">
        <v>121.1</v>
      </c>
      <c r="AF239" s="3">
        <v>123.9</v>
      </c>
      <c r="AG239" s="3">
        <v>614.4</v>
      </c>
      <c r="AH239" s="3">
        <v>130.4</v>
      </c>
      <c r="AI239" s="10" t="str">
        <f t="shared" si="3"/>
        <v>2016 December</v>
      </c>
    </row>
    <row r="240" spans="1:35">
      <c r="A240" t="s">
        <v>34</v>
      </c>
      <c r="B240">
        <v>2016</v>
      </c>
      <c r="C240" t="s">
        <v>41</v>
      </c>
      <c r="D240" s="3">
        <v>129.30000000000001</v>
      </c>
      <c r="E240" s="3">
        <v>139.30000000000001</v>
      </c>
      <c r="F240" s="3">
        <v>131.6</v>
      </c>
      <c r="G240" s="3">
        <v>134.1</v>
      </c>
      <c r="H240" s="3">
        <v>116.9</v>
      </c>
      <c r="I240" s="3">
        <v>138.1</v>
      </c>
      <c r="J240" s="3">
        <v>159.1</v>
      </c>
      <c r="K240" s="3">
        <v>175.6</v>
      </c>
      <c r="L240" s="3">
        <v>112.9</v>
      </c>
      <c r="M240" s="3">
        <v>138.1</v>
      </c>
      <c r="N240" s="3">
        <v>125.5</v>
      </c>
      <c r="O240" s="3">
        <v>139.5</v>
      </c>
      <c r="P240" s="3">
        <v>137.9</v>
      </c>
      <c r="Q240" s="3">
        <v>1777.9</v>
      </c>
      <c r="R240" s="3">
        <v>140.19999999999999</v>
      </c>
      <c r="S240" s="3">
        <v>134.1</v>
      </c>
      <c r="T240" s="3">
        <v>128.19999999999999</v>
      </c>
      <c r="U240" s="3">
        <v>133.19999999999999</v>
      </c>
      <c r="V240" s="3">
        <v>395.49999999999994</v>
      </c>
      <c r="W240">
        <v>127.3</v>
      </c>
      <c r="X240" s="3">
        <v>127.3</v>
      </c>
      <c r="Y240" s="3">
        <v>123.6</v>
      </c>
      <c r="Z240" s="3">
        <v>127.4</v>
      </c>
      <c r="AA240" s="3">
        <v>124.8</v>
      </c>
      <c r="AB240" s="3">
        <v>113.1</v>
      </c>
      <c r="AC240" s="3">
        <v>122.7</v>
      </c>
      <c r="AD240" s="3">
        <v>131.69999999999999</v>
      </c>
      <c r="AE240" s="3">
        <v>121.5</v>
      </c>
      <c r="AF240" s="3">
        <v>122.1</v>
      </c>
      <c r="AG240" s="3">
        <v>606.79999999999995</v>
      </c>
      <c r="AH240" s="3">
        <v>131.1</v>
      </c>
      <c r="AI240" s="10" t="str">
        <f t="shared" si="3"/>
        <v>2016 August</v>
      </c>
    </row>
    <row r="241" spans="1:35">
      <c r="A241" t="s">
        <v>34</v>
      </c>
      <c r="B241">
        <v>2016</v>
      </c>
      <c r="C241" t="s">
        <v>37</v>
      </c>
      <c r="D241" s="3">
        <v>126.6</v>
      </c>
      <c r="E241" s="3">
        <v>136.80000000000001</v>
      </c>
      <c r="F241" s="3">
        <v>122</v>
      </c>
      <c r="G241" s="3">
        <v>130.9</v>
      </c>
      <c r="H241" s="3">
        <v>114.8</v>
      </c>
      <c r="I241" s="3">
        <v>134.80000000000001</v>
      </c>
      <c r="J241" s="3">
        <v>135</v>
      </c>
      <c r="K241" s="3">
        <v>167.5</v>
      </c>
      <c r="L241" s="3">
        <v>106.4</v>
      </c>
      <c r="M241" s="3">
        <v>134.4</v>
      </c>
      <c r="N241" s="3">
        <v>123.6</v>
      </c>
      <c r="O241" s="3">
        <v>136.69999999999999</v>
      </c>
      <c r="P241" s="3">
        <v>131.80000000000001</v>
      </c>
      <c r="Q241" s="3">
        <v>1701.3</v>
      </c>
      <c r="R241" s="3">
        <v>137.1</v>
      </c>
      <c r="S241" s="3">
        <v>131.80000000000001</v>
      </c>
      <c r="T241" s="3">
        <v>126.4</v>
      </c>
      <c r="U241" s="3">
        <v>131</v>
      </c>
      <c r="V241" s="3">
        <v>389.20000000000005</v>
      </c>
      <c r="W241">
        <v>125.6</v>
      </c>
      <c r="X241" s="3">
        <v>125.6</v>
      </c>
      <c r="Y241" s="3">
        <v>122.3</v>
      </c>
      <c r="Z241" s="3">
        <v>125.5</v>
      </c>
      <c r="AA241" s="3">
        <v>123.2</v>
      </c>
      <c r="AB241" s="3">
        <v>112.1</v>
      </c>
      <c r="AC241" s="3">
        <v>121.1</v>
      </c>
      <c r="AD241" s="3">
        <v>127.7</v>
      </c>
      <c r="AE241" s="3">
        <v>118.1</v>
      </c>
      <c r="AF241" s="3">
        <v>120</v>
      </c>
      <c r="AG241" s="3">
        <v>596.79999999999995</v>
      </c>
      <c r="AH241" s="3">
        <v>127.3</v>
      </c>
      <c r="AI241" s="10" t="str">
        <f t="shared" si="3"/>
        <v>2016 April</v>
      </c>
    </row>
    <row r="242" spans="1:35">
      <c r="A242" t="s">
        <v>30</v>
      </c>
      <c r="B242">
        <v>2016</v>
      </c>
      <c r="C242" t="s">
        <v>42</v>
      </c>
      <c r="D242" s="3">
        <v>130.80000000000001</v>
      </c>
      <c r="E242" s="3">
        <v>138.19999999999999</v>
      </c>
      <c r="F242" s="3">
        <v>130.5</v>
      </c>
      <c r="G242" s="3">
        <v>135.5</v>
      </c>
      <c r="H242" s="3">
        <v>120.2</v>
      </c>
      <c r="I242" s="3">
        <v>139.19999999999999</v>
      </c>
      <c r="J242" s="3">
        <v>149.5</v>
      </c>
      <c r="K242" s="3">
        <v>170.4</v>
      </c>
      <c r="L242" s="3">
        <v>113.1</v>
      </c>
      <c r="M242" s="3">
        <v>135.80000000000001</v>
      </c>
      <c r="N242" s="3">
        <v>128.80000000000001</v>
      </c>
      <c r="O242" s="3">
        <v>141.5</v>
      </c>
      <c r="P242" s="3">
        <v>137.19999999999999</v>
      </c>
      <c r="Q242" s="3">
        <v>1770.7</v>
      </c>
      <c r="R242" s="3">
        <v>139.9</v>
      </c>
      <c r="S242" s="3">
        <v>138.5</v>
      </c>
      <c r="T242" s="3">
        <v>133.5</v>
      </c>
      <c r="U242" s="3">
        <v>137.80000000000001</v>
      </c>
      <c r="V242" s="3">
        <v>409.8</v>
      </c>
      <c r="W242" t="s">
        <v>32</v>
      </c>
      <c r="X242" s="3">
        <v>126.5</v>
      </c>
      <c r="Y242" s="3">
        <v>129.69999999999999</v>
      </c>
      <c r="Z242" s="3">
        <v>131.1</v>
      </c>
      <c r="AA242" s="3">
        <v>127.8</v>
      </c>
      <c r="AB242" s="3">
        <v>117</v>
      </c>
      <c r="AC242" s="3">
        <v>125.7</v>
      </c>
      <c r="AD242" s="3">
        <v>132.19999999999999</v>
      </c>
      <c r="AE242" s="3">
        <v>122.8</v>
      </c>
      <c r="AF242" s="3">
        <v>124.9</v>
      </c>
      <c r="AG242" s="3">
        <v>621.5</v>
      </c>
      <c r="AH242" s="3">
        <v>133.4</v>
      </c>
      <c r="AI242" s="10" t="str">
        <f t="shared" si="3"/>
        <v>2016 September</v>
      </c>
    </row>
    <row r="243" spans="1:35">
      <c r="A243" t="s">
        <v>33</v>
      </c>
      <c r="B243">
        <v>2016</v>
      </c>
      <c r="C243" t="s">
        <v>42</v>
      </c>
      <c r="D243" s="3">
        <v>128.1</v>
      </c>
      <c r="E243" s="3">
        <v>137.69999999999999</v>
      </c>
      <c r="F243" s="3">
        <v>130.6</v>
      </c>
      <c r="G243" s="3">
        <v>132.6</v>
      </c>
      <c r="H243" s="3">
        <v>111.9</v>
      </c>
      <c r="I243" s="3">
        <v>132.5</v>
      </c>
      <c r="J243" s="3">
        <v>152.9</v>
      </c>
      <c r="K243" s="3">
        <v>173.6</v>
      </c>
      <c r="L243" s="3">
        <v>115.1</v>
      </c>
      <c r="M243" s="3">
        <v>144.80000000000001</v>
      </c>
      <c r="N243" s="3">
        <v>122.1</v>
      </c>
      <c r="O243" s="3">
        <v>138.80000000000001</v>
      </c>
      <c r="P243" s="3">
        <v>135.69999999999999</v>
      </c>
      <c r="Q243" s="3">
        <v>1756.3999999999996</v>
      </c>
      <c r="R243" s="3">
        <v>143.9</v>
      </c>
      <c r="S243" s="3">
        <v>128.69999999999999</v>
      </c>
      <c r="T243" s="3">
        <v>121.6</v>
      </c>
      <c r="U243" s="3">
        <v>127.7</v>
      </c>
      <c r="V243" s="3">
        <v>378</v>
      </c>
      <c r="W243">
        <v>127.9</v>
      </c>
      <c r="X243" s="3">
        <v>127.9</v>
      </c>
      <c r="Y243" s="3">
        <v>114.8</v>
      </c>
      <c r="Z243" s="3">
        <v>124.3</v>
      </c>
      <c r="AA243" s="3">
        <v>121.4</v>
      </c>
      <c r="AB243" s="3">
        <v>111.8</v>
      </c>
      <c r="AC243" s="3">
        <v>120.8</v>
      </c>
      <c r="AD243" s="3">
        <v>131.6</v>
      </c>
      <c r="AE243" s="3">
        <v>121.2</v>
      </c>
      <c r="AF243" s="3">
        <v>120.5</v>
      </c>
      <c r="AG243" s="3">
        <v>598.59999999999991</v>
      </c>
      <c r="AH243" s="3">
        <v>128</v>
      </c>
      <c r="AI243" s="10" t="str">
        <f t="shared" si="3"/>
        <v>2016 September</v>
      </c>
    </row>
    <row r="244" spans="1:35">
      <c r="A244" t="s">
        <v>30</v>
      </c>
      <c r="B244">
        <v>2016</v>
      </c>
      <c r="C244" t="s">
        <v>43</v>
      </c>
      <c r="D244" s="3">
        <v>131.30000000000001</v>
      </c>
      <c r="E244" s="3">
        <v>137.6</v>
      </c>
      <c r="F244" s="3">
        <v>130.1</v>
      </c>
      <c r="G244" s="3">
        <v>136</v>
      </c>
      <c r="H244" s="3">
        <v>120.8</v>
      </c>
      <c r="I244" s="3">
        <v>138.4</v>
      </c>
      <c r="J244" s="3">
        <v>149.19999999999999</v>
      </c>
      <c r="K244" s="3">
        <v>170.2</v>
      </c>
      <c r="L244" s="3">
        <v>113.4</v>
      </c>
      <c r="M244" s="3">
        <v>136.30000000000001</v>
      </c>
      <c r="N244" s="3">
        <v>128.69999999999999</v>
      </c>
      <c r="O244" s="3">
        <v>142.4</v>
      </c>
      <c r="P244" s="3">
        <v>137.4</v>
      </c>
      <c r="Q244" s="3">
        <v>1771.8000000000002</v>
      </c>
      <c r="R244" s="3">
        <v>140.9</v>
      </c>
      <c r="S244" s="3">
        <v>139.6</v>
      </c>
      <c r="T244" s="3">
        <v>134.30000000000001</v>
      </c>
      <c r="U244" s="3">
        <v>138.80000000000001</v>
      </c>
      <c r="V244" s="3">
        <v>412.7</v>
      </c>
      <c r="W244" t="s">
        <v>32</v>
      </c>
      <c r="X244" s="3">
        <v>126.5</v>
      </c>
      <c r="Y244" s="3">
        <v>129.80000000000001</v>
      </c>
      <c r="Z244" s="3">
        <v>131.80000000000001</v>
      </c>
      <c r="AA244" s="3">
        <v>128.69999999999999</v>
      </c>
      <c r="AB244" s="3">
        <v>117.8</v>
      </c>
      <c r="AC244" s="3">
        <v>126.5</v>
      </c>
      <c r="AD244" s="3">
        <v>133</v>
      </c>
      <c r="AE244" s="3">
        <v>123</v>
      </c>
      <c r="AF244" s="3">
        <v>125.7</v>
      </c>
      <c r="AG244" s="3">
        <v>624.80000000000007</v>
      </c>
      <c r="AH244" s="3">
        <v>133.80000000000001</v>
      </c>
      <c r="AI244" s="10" t="str">
        <f t="shared" si="3"/>
        <v>2016 October</v>
      </c>
    </row>
    <row r="245" spans="1:35">
      <c r="A245" t="s">
        <v>33</v>
      </c>
      <c r="B245">
        <v>2016</v>
      </c>
      <c r="C245" t="s">
        <v>43</v>
      </c>
      <c r="D245" s="3">
        <v>128.69999999999999</v>
      </c>
      <c r="E245" s="3">
        <v>138.4</v>
      </c>
      <c r="F245" s="3">
        <v>130.30000000000001</v>
      </c>
      <c r="G245" s="3">
        <v>132.69999999999999</v>
      </c>
      <c r="H245" s="3">
        <v>112.5</v>
      </c>
      <c r="I245" s="3">
        <v>130.4</v>
      </c>
      <c r="J245" s="3">
        <v>155.1</v>
      </c>
      <c r="K245" s="3">
        <v>175.7</v>
      </c>
      <c r="L245" s="3">
        <v>115.4</v>
      </c>
      <c r="M245" s="3">
        <v>145.30000000000001</v>
      </c>
      <c r="N245" s="3">
        <v>122.5</v>
      </c>
      <c r="O245" s="3">
        <v>139.6</v>
      </c>
      <c r="P245" s="3">
        <v>136.30000000000001</v>
      </c>
      <c r="Q245" s="3">
        <v>1762.8999999999999</v>
      </c>
      <c r="R245" s="3">
        <v>144.30000000000001</v>
      </c>
      <c r="S245" s="3">
        <v>129.1</v>
      </c>
      <c r="T245" s="3">
        <v>121.9</v>
      </c>
      <c r="U245" s="3">
        <v>128</v>
      </c>
      <c r="V245" s="3">
        <v>379</v>
      </c>
      <c r="W245">
        <v>128.69999999999999</v>
      </c>
      <c r="X245" s="3">
        <v>128.69999999999999</v>
      </c>
      <c r="Y245" s="3">
        <v>115.2</v>
      </c>
      <c r="Z245" s="3">
        <v>124.5</v>
      </c>
      <c r="AA245" s="3">
        <v>121.8</v>
      </c>
      <c r="AB245" s="3">
        <v>112.8</v>
      </c>
      <c r="AC245" s="3">
        <v>121.2</v>
      </c>
      <c r="AD245" s="3">
        <v>131.9</v>
      </c>
      <c r="AE245" s="3">
        <v>120.8</v>
      </c>
      <c r="AF245" s="3">
        <v>120.9</v>
      </c>
      <c r="AG245" s="3">
        <v>600.20000000000005</v>
      </c>
      <c r="AH245" s="3">
        <v>128.6</v>
      </c>
      <c r="AI245" s="10" t="str">
        <f t="shared" si="3"/>
        <v>2016 October</v>
      </c>
    </row>
    <row r="246" spans="1:35">
      <c r="A246" t="s">
        <v>30</v>
      </c>
      <c r="B246">
        <v>2016</v>
      </c>
      <c r="C246" t="s">
        <v>45</v>
      </c>
      <c r="D246" s="3">
        <v>132</v>
      </c>
      <c r="E246" s="3">
        <v>137.4</v>
      </c>
      <c r="F246" s="3">
        <v>130.6</v>
      </c>
      <c r="G246" s="3">
        <v>136.19999999999999</v>
      </c>
      <c r="H246" s="3">
        <v>121.1</v>
      </c>
      <c r="I246" s="3">
        <v>136.9</v>
      </c>
      <c r="J246" s="3">
        <v>141.80000000000001</v>
      </c>
      <c r="K246" s="3">
        <v>170</v>
      </c>
      <c r="L246" s="3">
        <v>113.4</v>
      </c>
      <c r="M246" s="3">
        <v>136.80000000000001</v>
      </c>
      <c r="N246" s="3">
        <v>128.69999999999999</v>
      </c>
      <c r="O246" s="3">
        <v>143.1</v>
      </c>
      <c r="P246" s="3">
        <v>136.6</v>
      </c>
      <c r="Q246" s="3">
        <v>1764.6</v>
      </c>
      <c r="R246" s="3">
        <v>141.19999999999999</v>
      </c>
      <c r="S246" s="3">
        <v>139.9</v>
      </c>
      <c r="T246" s="3">
        <v>134.5</v>
      </c>
      <c r="U246" s="3">
        <v>139.19999999999999</v>
      </c>
      <c r="V246" s="3">
        <v>413.59999999999997</v>
      </c>
      <c r="W246" t="s">
        <v>32</v>
      </c>
      <c r="X246" s="3">
        <v>126.5</v>
      </c>
      <c r="Y246" s="3">
        <v>130.30000000000001</v>
      </c>
      <c r="Z246" s="3">
        <v>132.1</v>
      </c>
      <c r="AA246" s="3">
        <v>129.1</v>
      </c>
      <c r="AB246" s="3">
        <v>118.2</v>
      </c>
      <c r="AC246" s="3">
        <v>126.9</v>
      </c>
      <c r="AD246" s="3">
        <v>133.69999999999999</v>
      </c>
      <c r="AE246" s="3">
        <v>123.5</v>
      </c>
      <c r="AF246" s="3">
        <v>126.1</v>
      </c>
      <c r="AG246" s="3">
        <v>626.80000000000007</v>
      </c>
      <c r="AH246" s="3">
        <v>133.6</v>
      </c>
      <c r="AI246" s="10" t="str">
        <f t="shared" si="3"/>
        <v>2016 November</v>
      </c>
    </row>
    <row r="247" spans="1:35">
      <c r="A247" t="s">
        <v>33</v>
      </c>
      <c r="B247">
        <v>2016</v>
      </c>
      <c r="C247" t="s">
        <v>45</v>
      </c>
      <c r="D247" s="3">
        <v>130.19999999999999</v>
      </c>
      <c r="E247" s="3">
        <v>138.5</v>
      </c>
      <c r="F247" s="3">
        <v>134.1</v>
      </c>
      <c r="G247" s="3">
        <v>132.9</v>
      </c>
      <c r="H247" s="3">
        <v>112.6</v>
      </c>
      <c r="I247" s="3">
        <v>130.80000000000001</v>
      </c>
      <c r="J247" s="3">
        <v>142</v>
      </c>
      <c r="K247" s="3">
        <v>174.9</v>
      </c>
      <c r="L247" s="3">
        <v>115.6</v>
      </c>
      <c r="M247" s="3">
        <v>145.4</v>
      </c>
      <c r="N247" s="3">
        <v>122.7</v>
      </c>
      <c r="O247" s="3">
        <v>140.30000000000001</v>
      </c>
      <c r="P247" s="3">
        <v>135.19999999999999</v>
      </c>
      <c r="Q247" s="3">
        <v>1755.2</v>
      </c>
      <c r="R247" s="3">
        <v>144.30000000000001</v>
      </c>
      <c r="S247" s="3">
        <v>129.6</v>
      </c>
      <c r="T247" s="3">
        <v>122.1</v>
      </c>
      <c r="U247" s="3">
        <v>128.5</v>
      </c>
      <c r="V247" s="3">
        <v>380.2</v>
      </c>
      <c r="W247">
        <v>129.1</v>
      </c>
      <c r="X247" s="3">
        <v>129.1</v>
      </c>
      <c r="Y247" s="3">
        <v>116.2</v>
      </c>
      <c r="Z247" s="3">
        <v>124.7</v>
      </c>
      <c r="AA247" s="3">
        <v>122.1</v>
      </c>
      <c r="AB247" s="3">
        <v>113.4</v>
      </c>
      <c r="AC247" s="3">
        <v>121.7</v>
      </c>
      <c r="AD247" s="3">
        <v>132.1</v>
      </c>
      <c r="AE247" s="3">
        <v>121.3</v>
      </c>
      <c r="AF247" s="3">
        <v>121.3</v>
      </c>
      <c r="AG247" s="3">
        <v>602.4</v>
      </c>
      <c r="AH247" s="3">
        <v>128.5</v>
      </c>
      <c r="AI247" s="10" t="str">
        <f t="shared" si="3"/>
        <v>2016 November</v>
      </c>
    </row>
    <row r="248" spans="1:35">
      <c r="A248" t="s">
        <v>30</v>
      </c>
      <c r="B248">
        <v>2016</v>
      </c>
      <c r="C248" t="s">
        <v>38</v>
      </c>
      <c r="D248" s="3">
        <v>127.6</v>
      </c>
      <c r="E248" s="3">
        <v>137.5</v>
      </c>
      <c r="F248" s="3">
        <v>124.4</v>
      </c>
      <c r="G248" s="3">
        <v>132.4</v>
      </c>
      <c r="H248" s="3">
        <v>118.2</v>
      </c>
      <c r="I248" s="3">
        <v>138.1</v>
      </c>
      <c r="J248" s="3">
        <v>141.80000000000001</v>
      </c>
      <c r="K248" s="3">
        <v>166</v>
      </c>
      <c r="L248" s="3">
        <v>107.5</v>
      </c>
      <c r="M248" s="3">
        <v>132.19999999999999</v>
      </c>
      <c r="N248" s="3">
        <v>126.1</v>
      </c>
      <c r="O248" s="3">
        <v>138.30000000000001</v>
      </c>
      <c r="P248" s="3">
        <v>133.6</v>
      </c>
      <c r="Q248" s="3">
        <v>1723.6999999999998</v>
      </c>
      <c r="R248" s="3">
        <v>136</v>
      </c>
      <c r="S248" s="3">
        <v>135.4</v>
      </c>
      <c r="T248" s="3">
        <v>131.1</v>
      </c>
      <c r="U248" s="3">
        <v>134.80000000000001</v>
      </c>
      <c r="V248" s="3">
        <v>401.3</v>
      </c>
      <c r="W248" t="s">
        <v>32</v>
      </c>
      <c r="X248" s="3">
        <v>126.5</v>
      </c>
      <c r="Y248" s="3">
        <v>127.4</v>
      </c>
      <c r="Z248" s="3">
        <v>128.5</v>
      </c>
      <c r="AA248" s="3">
        <v>125.8</v>
      </c>
      <c r="AB248" s="3">
        <v>115.1</v>
      </c>
      <c r="AC248" s="3">
        <v>123.6</v>
      </c>
      <c r="AD248" s="3">
        <v>129.1</v>
      </c>
      <c r="AE248" s="3">
        <v>119.7</v>
      </c>
      <c r="AF248" s="3">
        <v>122.5</v>
      </c>
      <c r="AG248" s="3">
        <v>609.4</v>
      </c>
      <c r="AH248" s="3">
        <v>130.30000000000001</v>
      </c>
      <c r="AI248" s="10" t="str">
        <f t="shared" si="3"/>
        <v>2016 May</v>
      </c>
    </row>
    <row r="249" spans="1:35">
      <c r="A249" t="s">
        <v>33</v>
      </c>
      <c r="B249">
        <v>2016</v>
      </c>
      <c r="C249" t="s">
        <v>38</v>
      </c>
      <c r="D249" s="3">
        <v>125</v>
      </c>
      <c r="E249" s="3">
        <v>142.1</v>
      </c>
      <c r="F249" s="3">
        <v>127</v>
      </c>
      <c r="G249" s="3">
        <v>130.4</v>
      </c>
      <c r="H249" s="3">
        <v>109.6</v>
      </c>
      <c r="I249" s="3">
        <v>133.5</v>
      </c>
      <c r="J249" s="3">
        <v>151.4</v>
      </c>
      <c r="K249" s="3">
        <v>182.8</v>
      </c>
      <c r="L249" s="3">
        <v>111.1</v>
      </c>
      <c r="M249" s="3">
        <v>141.5</v>
      </c>
      <c r="N249" s="3">
        <v>121.5</v>
      </c>
      <c r="O249" s="3">
        <v>136.30000000000001</v>
      </c>
      <c r="P249" s="3">
        <v>134.6</v>
      </c>
      <c r="Q249" s="3">
        <v>1746.7999999999997</v>
      </c>
      <c r="R249" s="3">
        <v>142.19999999999999</v>
      </c>
      <c r="S249" s="3">
        <v>127.2</v>
      </c>
      <c r="T249" s="3">
        <v>120.7</v>
      </c>
      <c r="U249" s="3">
        <v>126.2</v>
      </c>
      <c r="V249" s="3">
        <v>374.1</v>
      </c>
      <c r="W249">
        <v>126</v>
      </c>
      <c r="X249" s="3">
        <v>126</v>
      </c>
      <c r="Y249" s="3">
        <v>115</v>
      </c>
      <c r="Z249" s="3">
        <v>123.2</v>
      </c>
      <c r="AA249" s="3">
        <v>120.3</v>
      </c>
      <c r="AB249" s="3">
        <v>110.7</v>
      </c>
      <c r="AC249" s="3">
        <v>119.8</v>
      </c>
      <c r="AD249" s="3">
        <v>128</v>
      </c>
      <c r="AE249" s="3">
        <v>118.5</v>
      </c>
      <c r="AF249" s="3">
        <v>118.7</v>
      </c>
      <c r="AG249" s="3">
        <v>590.9</v>
      </c>
      <c r="AH249" s="3">
        <v>126.6</v>
      </c>
      <c r="AI249" s="10" t="str">
        <f t="shared" si="3"/>
        <v>2016 May</v>
      </c>
    </row>
    <row r="250" spans="1:35">
      <c r="A250" t="s">
        <v>30</v>
      </c>
      <c r="B250">
        <v>2016</v>
      </c>
      <c r="C250" t="s">
        <v>36</v>
      </c>
      <c r="D250" s="3">
        <v>127.3</v>
      </c>
      <c r="E250" s="3">
        <v>134.4</v>
      </c>
      <c r="F250" s="3">
        <v>125.1</v>
      </c>
      <c r="G250" s="3">
        <v>130.5</v>
      </c>
      <c r="H250" s="3">
        <v>118.3</v>
      </c>
      <c r="I250" s="3">
        <v>131.69999999999999</v>
      </c>
      <c r="J250" s="3">
        <v>130.69999999999999</v>
      </c>
      <c r="K250" s="3">
        <v>161.19999999999999</v>
      </c>
      <c r="L250" s="3">
        <v>100.4</v>
      </c>
      <c r="M250" s="3">
        <v>130.80000000000001</v>
      </c>
      <c r="N250" s="3">
        <v>124.9</v>
      </c>
      <c r="O250" s="3">
        <v>137</v>
      </c>
      <c r="P250" s="3">
        <v>130.4</v>
      </c>
      <c r="Q250" s="3">
        <v>1682.7000000000003</v>
      </c>
      <c r="R250" s="3">
        <v>135</v>
      </c>
      <c r="S250" s="3">
        <v>134.4</v>
      </c>
      <c r="T250" s="3">
        <v>130.19999999999999</v>
      </c>
      <c r="U250" s="3">
        <v>133.80000000000001</v>
      </c>
      <c r="V250" s="3">
        <v>398.40000000000003</v>
      </c>
      <c r="W250" t="s">
        <v>32</v>
      </c>
      <c r="X250" s="3">
        <v>126.5</v>
      </c>
      <c r="Y250" s="3">
        <v>127</v>
      </c>
      <c r="Z250" s="3">
        <v>127.7</v>
      </c>
      <c r="AA250" s="3">
        <v>124.8</v>
      </c>
      <c r="AB250" s="3">
        <v>113.6</v>
      </c>
      <c r="AC250" s="3">
        <v>122.5</v>
      </c>
      <c r="AD250" s="3">
        <v>127.5</v>
      </c>
      <c r="AE250" s="3">
        <v>117.4</v>
      </c>
      <c r="AF250" s="3">
        <v>121.1</v>
      </c>
      <c r="AG250" s="3">
        <v>602.30000000000007</v>
      </c>
      <c r="AH250" s="3">
        <v>128</v>
      </c>
      <c r="AI250" s="10" t="str">
        <f t="shared" si="3"/>
        <v>2016 March</v>
      </c>
    </row>
    <row r="251" spans="1:35">
      <c r="A251" t="s">
        <v>33</v>
      </c>
      <c r="B251">
        <v>2016</v>
      </c>
      <c r="C251" t="s">
        <v>36</v>
      </c>
      <c r="D251" s="3">
        <v>124.8</v>
      </c>
      <c r="E251" s="3">
        <v>136.30000000000001</v>
      </c>
      <c r="F251" s="3">
        <v>123.7</v>
      </c>
      <c r="G251" s="3">
        <v>129.69999999999999</v>
      </c>
      <c r="H251" s="3">
        <v>107.9</v>
      </c>
      <c r="I251" s="3">
        <v>119.9</v>
      </c>
      <c r="J251" s="3">
        <v>128.1</v>
      </c>
      <c r="K251" s="3">
        <v>170.3</v>
      </c>
      <c r="L251" s="3">
        <v>101.8</v>
      </c>
      <c r="M251" s="3">
        <v>140.1</v>
      </c>
      <c r="N251" s="3">
        <v>120.7</v>
      </c>
      <c r="O251" s="3">
        <v>135.4</v>
      </c>
      <c r="P251" s="3">
        <v>128.9</v>
      </c>
      <c r="Q251" s="3">
        <v>1667.6000000000001</v>
      </c>
      <c r="R251" s="3">
        <v>140.6</v>
      </c>
      <c r="S251" s="3">
        <v>126.4</v>
      </c>
      <c r="T251" s="3">
        <v>120.3</v>
      </c>
      <c r="U251" s="3">
        <v>125.5</v>
      </c>
      <c r="V251" s="3">
        <v>372.2</v>
      </c>
      <c r="W251">
        <v>124.9</v>
      </c>
      <c r="X251" s="3">
        <v>124.9</v>
      </c>
      <c r="Y251" s="3">
        <v>114.8</v>
      </c>
      <c r="Z251" s="3">
        <v>122.3</v>
      </c>
      <c r="AA251" s="3">
        <v>119.7</v>
      </c>
      <c r="AB251" s="3">
        <v>108.5</v>
      </c>
      <c r="AC251" s="3">
        <v>119.1</v>
      </c>
      <c r="AD251" s="3">
        <v>126.4</v>
      </c>
      <c r="AE251" s="3">
        <v>117.1</v>
      </c>
      <c r="AF251" s="3">
        <v>117.3</v>
      </c>
      <c r="AG251" s="3">
        <v>584.29999999999995</v>
      </c>
      <c r="AH251" s="3">
        <v>123.8</v>
      </c>
      <c r="AI251" s="10" t="str">
        <f t="shared" si="3"/>
        <v>2016 March</v>
      </c>
    </row>
    <row r="252" spans="1:35">
      <c r="A252" t="s">
        <v>30</v>
      </c>
      <c r="B252">
        <v>2016</v>
      </c>
      <c r="C252" t="s">
        <v>39</v>
      </c>
      <c r="D252" s="3">
        <v>128.6</v>
      </c>
      <c r="E252" s="3">
        <v>138.6</v>
      </c>
      <c r="F252" s="3">
        <v>126.6</v>
      </c>
      <c r="G252" s="3">
        <v>133.6</v>
      </c>
      <c r="H252" s="3">
        <v>118.6</v>
      </c>
      <c r="I252" s="3">
        <v>137.4</v>
      </c>
      <c r="J252" s="3">
        <v>152.5</v>
      </c>
      <c r="K252" s="3">
        <v>169.2</v>
      </c>
      <c r="L252" s="3">
        <v>108.8</v>
      </c>
      <c r="M252" s="3">
        <v>133.1</v>
      </c>
      <c r="N252" s="3">
        <v>126.4</v>
      </c>
      <c r="O252" s="3">
        <v>139.19999999999999</v>
      </c>
      <c r="P252" s="3">
        <v>136</v>
      </c>
      <c r="Q252" s="3">
        <v>1748.6</v>
      </c>
      <c r="R252" s="3">
        <v>137.19999999999999</v>
      </c>
      <c r="S252" s="3">
        <v>136.30000000000001</v>
      </c>
      <c r="T252" s="3">
        <v>131.6</v>
      </c>
      <c r="U252" s="3">
        <v>135.6</v>
      </c>
      <c r="V252" s="3">
        <v>403.5</v>
      </c>
      <c r="W252" t="s">
        <v>32</v>
      </c>
      <c r="X252" s="3">
        <v>126.5</v>
      </c>
      <c r="Y252" s="3">
        <v>128</v>
      </c>
      <c r="Z252" s="3">
        <v>129.30000000000001</v>
      </c>
      <c r="AA252" s="3">
        <v>126.2</v>
      </c>
      <c r="AB252" s="3">
        <v>116.3</v>
      </c>
      <c r="AC252" s="3">
        <v>124.1</v>
      </c>
      <c r="AD252" s="3">
        <v>130.19999999999999</v>
      </c>
      <c r="AE252" s="3">
        <v>119.9</v>
      </c>
      <c r="AF252" s="3">
        <v>123.3</v>
      </c>
      <c r="AG252" s="3">
        <v>612.9</v>
      </c>
      <c r="AH252" s="3">
        <v>131.9</v>
      </c>
      <c r="AI252" s="10" t="str">
        <f t="shared" si="3"/>
        <v>2016 June</v>
      </c>
    </row>
    <row r="253" spans="1:35">
      <c r="A253" t="s">
        <v>33</v>
      </c>
      <c r="B253">
        <v>2016</v>
      </c>
      <c r="C253" t="s">
        <v>39</v>
      </c>
      <c r="D253" s="3">
        <v>125.9</v>
      </c>
      <c r="E253" s="3">
        <v>143.9</v>
      </c>
      <c r="F253" s="3">
        <v>130.9</v>
      </c>
      <c r="G253" s="3">
        <v>131</v>
      </c>
      <c r="H253" s="3">
        <v>110.2</v>
      </c>
      <c r="I253" s="3">
        <v>135.5</v>
      </c>
      <c r="J253" s="3">
        <v>173.7</v>
      </c>
      <c r="K253" s="3">
        <v>184.4</v>
      </c>
      <c r="L253" s="3">
        <v>112</v>
      </c>
      <c r="M253" s="3">
        <v>142.80000000000001</v>
      </c>
      <c r="N253" s="3">
        <v>121.6</v>
      </c>
      <c r="O253" s="3">
        <v>136.9</v>
      </c>
      <c r="P253" s="3">
        <v>138.19999999999999</v>
      </c>
      <c r="Q253" s="3">
        <v>1787.0000000000002</v>
      </c>
      <c r="R253" s="3">
        <v>142.69999999999999</v>
      </c>
      <c r="S253" s="3">
        <v>127.6</v>
      </c>
      <c r="T253" s="3">
        <v>121.1</v>
      </c>
      <c r="U253" s="3">
        <v>126.6</v>
      </c>
      <c r="V253" s="3">
        <v>375.29999999999995</v>
      </c>
      <c r="W253">
        <v>125.5</v>
      </c>
      <c r="X253" s="3">
        <v>125.5</v>
      </c>
      <c r="Y253" s="3">
        <v>115.5</v>
      </c>
      <c r="Z253" s="3">
        <v>123.2</v>
      </c>
      <c r="AA253" s="3">
        <v>120.6</v>
      </c>
      <c r="AB253" s="3">
        <v>112.3</v>
      </c>
      <c r="AC253" s="3">
        <v>119.9</v>
      </c>
      <c r="AD253" s="3">
        <v>129.30000000000001</v>
      </c>
      <c r="AE253" s="3">
        <v>118.8</v>
      </c>
      <c r="AF253" s="3">
        <v>119.6</v>
      </c>
      <c r="AG253" s="3">
        <v>593.79999999999995</v>
      </c>
      <c r="AH253" s="3">
        <v>128.1</v>
      </c>
      <c r="AI253" s="10" t="str">
        <f t="shared" si="3"/>
        <v>2016 June</v>
      </c>
    </row>
    <row r="254" spans="1:35">
      <c r="A254" t="s">
        <v>30</v>
      </c>
      <c r="B254">
        <v>2016</v>
      </c>
      <c r="C254" t="s">
        <v>40</v>
      </c>
      <c r="D254" s="3">
        <v>129.30000000000001</v>
      </c>
      <c r="E254" s="3">
        <v>139.5</v>
      </c>
      <c r="F254" s="3">
        <v>129.6</v>
      </c>
      <c r="G254" s="3">
        <v>134.5</v>
      </c>
      <c r="H254" s="3">
        <v>119.5</v>
      </c>
      <c r="I254" s="3">
        <v>138.5</v>
      </c>
      <c r="J254" s="3">
        <v>158.19999999999999</v>
      </c>
      <c r="K254" s="3">
        <v>171.8</v>
      </c>
      <c r="L254" s="3">
        <v>110.3</v>
      </c>
      <c r="M254" s="3">
        <v>134.30000000000001</v>
      </c>
      <c r="N254" s="3">
        <v>127.3</v>
      </c>
      <c r="O254" s="3">
        <v>139.9</v>
      </c>
      <c r="P254" s="3">
        <v>137.6</v>
      </c>
      <c r="Q254" s="3">
        <v>1770.2999999999997</v>
      </c>
      <c r="R254" s="3">
        <v>138</v>
      </c>
      <c r="S254" s="3">
        <v>137.19999999999999</v>
      </c>
      <c r="T254" s="3">
        <v>132.19999999999999</v>
      </c>
      <c r="U254" s="3">
        <v>136.5</v>
      </c>
      <c r="V254" s="3">
        <v>405.9</v>
      </c>
      <c r="W254" t="s">
        <v>32</v>
      </c>
      <c r="X254" s="3">
        <v>126.5</v>
      </c>
      <c r="Y254" s="3">
        <v>128.19999999999999</v>
      </c>
      <c r="Z254" s="3">
        <v>130</v>
      </c>
      <c r="AA254" s="3">
        <v>126.7</v>
      </c>
      <c r="AB254" s="3">
        <v>116.4</v>
      </c>
      <c r="AC254" s="3">
        <v>125.2</v>
      </c>
      <c r="AD254" s="3">
        <v>130.80000000000001</v>
      </c>
      <c r="AE254" s="3">
        <v>120.9</v>
      </c>
      <c r="AF254" s="3">
        <v>123.8</v>
      </c>
      <c r="AG254" s="3">
        <v>616.29999999999995</v>
      </c>
      <c r="AH254" s="3">
        <v>133</v>
      </c>
      <c r="AI254" s="10" t="str">
        <f t="shared" si="3"/>
        <v>2016 July</v>
      </c>
    </row>
    <row r="255" spans="1:35">
      <c r="A255" t="s">
        <v>33</v>
      </c>
      <c r="B255">
        <v>2016</v>
      </c>
      <c r="C255" t="s">
        <v>40</v>
      </c>
      <c r="D255" s="3">
        <v>126.8</v>
      </c>
      <c r="E255" s="3">
        <v>144.19999999999999</v>
      </c>
      <c r="F255" s="3">
        <v>136.6</v>
      </c>
      <c r="G255" s="3">
        <v>131.80000000000001</v>
      </c>
      <c r="H255" s="3">
        <v>111</v>
      </c>
      <c r="I255" s="3">
        <v>137</v>
      </c>
      <c r="J255" s="3">
        <v>179.5</v>
      </c>
      <c r="K255" s="3">
        <v>188.4</v>
      </c>
      <c r="L255" s="3">
        <v>113.3</v>
      </c>
      <c r="M255" s="3">
        <v>143.9</v>
      </c>
      <c r="N255" s="3">
        <v>121.7</v>
      </c>
      <c r="O255" s="3">
        <v>137.5</v>
      </c>
      <c r="P255" s="3">
        <v>139.80000000000001</v>
      </c>
      <c r="Q255" s="3">
        <v>1811.5000000000002</v>
      </c>
      <c r="R255" s="3">
        <v>142.9</v>
      </c>
      <c r="S255" s="3">
        <v>127.9</v>
      </c>
      <c r="T255" s="3">
        <v>121.1</v>
      </c>
      <c r="U255" s="3">
        <v>126.9</v>
      </c>
      <c r="V255" s="3">
        <v>375.9</v>
      </c>
      <c r="W255">
        <v>126.4</v>
      </c>
      <c r="X255" s="3">
        <v>126.4</v>
      </c>
      <c r="Y255" s="3">
        <v>115.5</v>
      </c>
      <c r="Z255" s="3">
        <v>123.5</v>
      </c>
      <c r="AA255" s="3">
        <v>120.9</v>
      </c>
      <c r="AB255" s="3">
        <v>111.7</v>
      </c>
      <c r="AC255" s="3">
        <v>120.3</v>
      </c>
      <c r="AD255" s="3">
        <v>130.80000000000001</v>
      </c>
      <c r="AE255" s="3">
        <v>120</v>
      </c>
      <c r="AF255" s="3">
        <v>119.9</v>
      </c>
      <c r="AG255" s="3">
        <v>595.4</v>
      </c>
      <c r="AH255" s="3">
        <v>129</v>
      </c>
      <c r="AI255" s="10" t="str">
        <f t="shared" si="3"/>
        <v>2016 July</v>
      </c>
    </row>
    <row r="256" spans="1:35">
      <c r="A256" t="s">
        <v>30</v>
      </c>
      <c r="B256">
        <v>2016</v>
      </c>
      <c r="C256" t="s">
        <v>31</v>
      </c>
      <c r="D256" s="3">
        <v>126.8</v>
      </c>
      <c r="E256" s="3">
        <v>133.19999999999999</v>
      </c>
      <c r="F256" s="3">
        <v>126.5</v>
      </c>
      <c r="G256" s="3">
        <v>130.30000000000001</v>
      </c>
      <c r="H256" s="3">
        <v>118.9</v>
      </c>
      <c r="I256" s="3">
        <v>131.6</v>
      </c>
      <c r="J256" s="3">
        <v>140.1</v>
      </c>
      <c r="K256" s="3">
        <v>163.80000000000001</v>
      </c>
      <c r="L256" s="3">
        <v>97.7</v>
      </c>
      <c r="M256" s="3">
        <v>129.6</v>
      </c>
      <c r="N256" s="3">
        <v>124.3</v>
      </c>
      <c r="O256" s="3">
        <v>135.9</v>
      </c>
      <c r="P256" s="3">
        <v>131.4</v>
      </c>
      <c r="Q256" s="3">
        <v>1690.1000000000001</v>
      </c>
      <c r="R256" s="3">
        <v>133.6</v>
      </c>
      <c r="S256" s="3">
        <v>133.19999999999999</v>
      </c>
      <c r="T256" s="3">
        <v>128.9</v>
      </c>
      <c r="U256" s="3">
        <v>132.6</v>
      </c>
      <c r="V256" s="3">
        <v>394.70000000000005</v>
      </c>
      <c r="W256" t="s">
        <v>32</v>
      </c>
      <c r="X256" s="3">
        <v>126.5</v>
      </c>
      <c r="Y256" s="3">
        <v>126.2</v>
      </c>
      <c r="Z256" s="3">
        <v>126.6</v>
      </c>
      <c r="AA256" s="3">
        <v>123.7</v>
      </c>
      <c r="AB256" s="3">
        <v>113.6</v>
      </c>
      <c r="AC256" s="3">
        <v>121.4</v>
      </c>
      <c r="AD256" s="3">
        <v>126.2</v>
      </c>
      <c r="AE256" s="3">
        <v>114.9</v>
      </c>
      <c r="AF256" s="3">
        <v>120.1</v>
      </c>
      <c r="AG256" s="3">
        <v>596.6</v>
      </c>
      <c r="AH256" s="3">
        <v>128.1</v>
      </c>
      <c r="AI256" s="10" t="str">
        <f t="shared" si="3"/>
        <v>2016 January</v>
      </c>
    </row>
    <row r="257" spans="1:35">
      <c r="A257" t="s">
        <v>33</v>
      </c>
      <c r="B257">
        <v>2016</v>
      </c>
      <c r="C257" t="s">
        <v>31</v>
      </c>
      <c r="D257" s="3">
        <v>124.7</v>
      </c>
      <c r="E257" s="3">
        <v>135.9</v>
      </c>
      <c r="F257" s="3">
        <v>132</v>
      </c>
      <c r="G257" s="3">
        <v>129.19999999999999</v>
      </c>
      <c r="H257" s="3">
        <v>109.7</v>
      </c>
      <c r="I257" s="3">
        <v>119</v>
      </c>
      <c r="J257" s="3">
        <v>144.1</v>
      </c>
      <c r="K257" s="3">
        <v>184.2</v>
      </c>
      <c r="L257" s="3">
        <v>96.7</v>
      </c>
      <c r="M257" s="3">
        <v>139.5</v>
      </c>
      <c r="N257" s="3">
        <v>120.5</v>
      </c>
      <c r="O257" s="3">
        <v>134.69999999999999</v>
      </c>
      <c r="P257" s="3">
        <v>131.19999999999999</v>
      </c>
      <c r="Q257" s="3">
        <v>1701.4</v>
      </c>
      <c r="R257" s="3">
        <v>139.5</v>
      </c>
      <c r="S257" s="3">
        <v>125.8</v>
      </c>
      <c r="T257" s="3">
        <v>119.8</v>
      </c>
      <c r="U257" s="3">
        <v>124.9</v>
      </c>
      <c r="V257" s="3">
        <v>370.5</v>
      </c>
      <c r="W257">
        <v>123.4</v>
      </c>
      <c r="X257" s="3">
        <v>123.4</v>
      </c>
      <c r="Y257" s="3">
        <v>116.9</v>
      </c>
      <c r="Z257" s="3">
        <v>121.6</v>
      </c>
      <c r="AA257" s="3">
        <v>119.1</v>
      </c>
      <c r="AB257" s="3">
        <v>108.9</v>
      </c>
      <c r="AC257" s="3">
        <v>118.5</v>
      </c>
      <c r="AD257" s="3">
        <v>126.4</v>
      </c>
      <c r="AE257" s="3">
        <v>114</v>
      </c>
      <c r="AF257" s="3">
        <v>116.8</v>
      </c>
      <c r="AG257" s="3">
        <v>579.79999999999995</v>
      </c>
      <c r="AH257" s="3">
        <v>124.2</v>
      </c>
      <c r="AI257" s="10" t="str">
        <f t="shared" si="3"/>
        <v>2016 January</v>
      </c>
    </row>
    <row r="258" spans="1:35">
      <c r="A258" t="s">
        <v>30</v>
      </c>
      <c r="B258">
        <v>2016</v>
      </c>
      <c r="C258" t="s">
        <v>35</v>
      </c>
      <c r="D258" s="3">
        <v>127.1</v>
      </c>
      <c r="E258" s="3">
        <v>133.69999999999999</v>
      </c>
      <c r="F258" s="3">
        <v>127.7</v>
      </c>
      <c r="G258" s="3">
        <v>130.69999999999999</v>
      </c>
      <c r="H258" s="3">
        <v>118.5</v>
      </c>
      <c r="I258" s="3">
        <v>130.4</v>
      </c>
      <c r="J258" s="3">
        <v>130.9</v>
      </c>
      <c r="K258" s="3">
        <v>162.80000000000001</v>
      </c>
      <c r="L258" s="3">
        <v>98.7</v>
      </c>
      <c r="M258" s="3">
        <v>130.6</v>
      </c>
      <c r="N258" s="3">
        <v>124.8</v>
      </c>
      <c r="O258" s="3">
        <v>136.4</v>
      </c>
      <c r="P258" s="3">
        <v>130.30000000000001</v>
      </c>
      <c r="Q258" s="3">
        <v>1682.6</v>
      </c>
      <c r="R258" s="3">
        <v>134.4</v>
      </c>
      <c r="S258" s="3">
        <v>133.9</v>
      </c>
      <c r="T258" s="3">
        <v>129.80000000000001</v>
      </c>
      <c r="U258" s="3">
        <v>133.4</v>
      </c>
      <c r="V258" s="3">
        <v>397.1</v>
      </c>
      <c r="W258" t="s">
        <v>32</v>
      </c>
      <c r="X258" s="3">
        <v>126.5</v>
      </c>
      <c r="Y258" s="3">
        <v>127.5</v>
      </c>
      <c r="Z258" s="3">
        <v>127.1</v>
      </c>
      <c r="AA258" s="3">
        <v>124.3</v>
      </c>
      <c r="AB258" s="3">
        <v>113.9</v>
      </c>
      <c r="AC258" s="3">
        <v>122.3</v>
      </c>
      <c r="AD258" s="3">
        <v>127.1</v>
      </c>
      <c r="AE258" s="3">
        <v>116.8</v>
      </c>
      <c r="AF258" s="3">
        <v>120.9</v>
      </c>
      <c r="AG258" s="3">
        <v>601</v>
      </c>
      <c r="AH258" s="3">
        <v>127.9</v>
      </c>
      <c r="AI258" s="10" t="str">
        <f t="shared" ref="AI258:AI321" si="4">CONCATENATE(B258," ",C258)</f>
        <v>2016 February</v>
      </c>
    </row>
    <row r="259" spans="1:35">
      <c r="A259" t="s">
        <v>33</v>
      </c>
      <c r="B259">
        <v>2016</v>
      </c>
      <c r="C259" t="s">
        <v>35</v>
      </c>
      <c r="D259" s="3">
        <v>124.8</v>
      </c>
      <c r="E259" s="3">
        <v>135.1</v>
      </c>
      <c r="F259" s="3">
        <v>130.30000000000001</v>
      </c>
      <c r="G259" s="3">
        <v>129.6</v>
      </c>
      <c r="H259" s="3">
        <v>108.4</v>
      </c>
      <c r="I259" s="3">
        <v>118.6</v>
      </c>
      <c r="J259" s="3">
        <v>129.19999999999999</v>
      </c>
      <c r="K259" s="3">
        <v>176.4</v>
      </c>
      <c r="L259" s="3">
        <v>99.1</v>
      </c>
      <c r="M259" s="3">
        <v>139.69999999999999</v>
      </c>
      <c r="N259" s="3">
        <v>120.6</v>
      </c>
      <c r="O259" s="3">
        <v>135.19999999999999</v>
      </c>
      <c r="P259" s="3">
        <v>129.1</v>
      </c>
      <c r="Q259" s="3">
        <v>1676.1</v>
      </c>
      <c r="R259" s="3">
        <v>140</v>
      </c>
      <c r="S259" s="3">
        <v>126.2</v>
      </c>
      <c r="T259" s="3">
        <v>120.1</v>
      </c>
      <c r="U259" s="3">
        <v>125.3</v>
      </c>
      <c r="V259" s="3">
        <v>371.6</v>
      </c>
      <c r="W259">
        <v>124.4</v>
      </c>
      <c r="X259" s="3">
        <v>124.4</v>
      </c>
      <c r="Y259" s="3">
        <v>116</v>
      </c>
      <c r="Z259" s="3">
        <v>121.8</v>
      </c>
      <c r="AA259" s="3">
        <v>119.5</v>
      </c>
      <c r="AB259" s="3">
        <v>109.1</v>
      </c>
      <c r="AC259" s="3">
        <v>118.8</v>
      </c>
      <c r="AD259" s="3">
        <v>126.3</v>
      </c>
      <c r="AE259" s="3">
        <v>116.2</v>
      </c>
      <c r="AF259" s="3">
        <v>117.2</v>
      </c>
      <c r="AG259" s="3">
        <v>583.1</v>
      </c>
      <c r="AH259" s="3">
        <v>123.8</v>
      </c>
      <c r="AI259" s="10" t="str">
        <f t="shared" si="4"/>
        <v>2016 February</v>
      </c>
    </row>
    <row r="260" spans="1:35">
      <c r="A260" t="s">
        <v>30</v>
      </c>
      <c r="B260">
        <v>2016</v>
      </c>
      <c r="C260" t="s">
        <v>46</v>
      </c>
      <c r="D260" s="3">
        <v>132.6</v>
      </c>
      <c r="E260" s="3">
        <v>137.30000000000001</v>
      </c>
      <c r="F260" s="3">
        <v>131.6</v>
      </c>
      <c r="G260" s="3">
        <v>136.30000000000001</v>
      </c>
      <c r="H260" s="3">
        <v>121.6</v>
      </c>
      <c r="I260" s="3">
        <v>135.6</v>
      </c>
      <c r="J260" s="3">
        <v>127.5</v>
      </c>
      <c r="K260" s="3">
        <v>167.9</v>
      </c>
      <c r="L260" s="3">
        <v>113.8</v>
      </c>
      <c r="M260" s="3">
        <v>137.5</v>
      </c>
      <c r="N260" s="3">
        <v>129.1</v>
      </c>
      <c r="O260" s="3">
        <v>143.6</v>
      </c>
      <c r="P260" s="3">
        <v>134.69999999999999</v>
      </c>
      <c r="Q260" s="3">
        <v>1749.1</v>
      </c>
      <c r="R260" s="3">
        <v>142.4</v>
      </c>
      <c r="S260" s="3">
        <v>140.4</v>
      </c>
      <c r="T260" s="3">
        <v>135.19999999999999</v>
      </c>
      <c r="U260" s="3">
        <v>139.69999999999999</v>
      </c>
      <c r="V260" s="3">
        <v>415.3</v>
      </c>
      <c r="W260" t="s">
        <v>32</v>
      </c>
      <c r="X260" s="3">
        <v>126.5</v>
      </c>
      <c r="Y260" s="3">
        <v>132</v>
      </c>
      <c r="Z260" s="3">
        <v>132.9</v>
      </c>
      <c r="AA260" s="3">
        <v>129.69999999999999</v>
      </c>
      <c r="AB260" s="3">
        <v>118.6</v>
      </c>
      <c r="AC260" s="3">
        <v>127.3</v>
      </c>
      <c r="AD260" s="3">
        <v>134.19999999999999</v>
      </c>
      <c r="AE260" s="3">
        <v>121.9</v>
      </c>
      <c r="AF260" s="3">
        <v>126.3</v>
      </c>
      <c r="AG260" s="3">
        <v>627</v>
      </c>
      <c r="AH260" s="3">
        <v>132.80000000000001</v>
      </c>
      <c r="AI260" s="10" t="str">
        <f t="shared" si="4"/>
        <v>2016 December</v>
      </c>
    </row>
    <row r="261" spans="1:35">
      <c r="A261" t="s">
        <v>33</v>
      </c>
      <c r="B261">
        <v>2016</v>
      </c>
      <c r="C261" t="s">
        <v>46</v>
      </c>
      <c r="D261" s="3">
        <v>131.6</v>
      </c>
      <c r="E261" s="3">
        <v>138.19999999999999</v>
      </c>
      <c r="F261" s="3">
        <v>134.9</v>
      </c>
      <c r="G261" s="3">
        <v>133.1</v>
      </c>
      <c r="H261" s="3">
        <v>113.5</v>
      </c>
      <c r="I261" s="3">
        <v>129.30000000000001</v>
      </c>
      <c r="J261" s="3">
        <v>121.1</v>
      </c>
      <c r="K261" s="3">
        <v>170.3</v>
      </c>
      <c r="L261" s="3">
        <v>115.5</v>
      </c>
      <c r="M261" s="3">
        <v>145.5</v>
      </c>
      <c r="N261" s="3">
        <v>123.1</v>
      </c>
      <c r="O261" s="3">
        <v>140.9</v>
      </c>
      <c r="P261" s="3">
        <v>132.80000000000001</v>
      </c>
      <c r="Q261" s="3">
        <v>1729.8</v>
      </c>
      <c r="R261" s="3">
        <v>145</v>
      </c>
      <c r="S261" s="3">
        <v>130</v>
      </c>
      <c r="T261" s="3">
        <v>122.2</v>
      </c>
      <c r="U261" s="3">
        <v>128.80000000000001</v>
      </c>
      <c r="V261" s="3">
        <v>381</v>
      </c>
      <c r="W261">
        <v>128.5</v>
      </c>
      <c r="X261" s="3">
        <v>128.5</v>
      </c>
      <c r="Y261" s="3">
        <v>117.8</v>
      </c>
      <c r="Z261" s="3">
        <v>125</v>
      </c>
      <c r="AA261" s="3">
        <v>122.3</v>
      </c>
      <c r="AB261" s="3">
        <v>113.7</v>
      </c>
      <c r="AC261" s="3">
        <v>121.8</v>
      </c>
      <c r="AD261" s="3">
        <v>132.30000000000001</v>
      </c>
      <c r="AE261" s="3">
        <v>119.9</v>
      </c>
      <c r="AF261" s="3">
        <v>121.4</v>
      </c>
      <c r="AG261" s="3">
        <v>601.79999999999995</v>
      </c>
      <c r="AH261" s="3">
        <v>127.6</v>
      </c>
      <c r="AI261" s="10" t="str">
        <f t="shared" si="4"/>
        <v>2016 December</v>
      </c>
    </row>
    <row r="262" spans="1:35">
      <c r="A262" t="s">
        <v>30</v>
      </c>
      <c r="B262">
        <v>2016</v>
      </c>
      <c r="C262" t="s">
        <v>41</v>
      </c>
      <c r="D262" s="3">
        <v>130.1</v>
      </c>
      <c r="E262" s="3">
        <v>138.80000000000001</v>
      </c>
      <c r="F262" s="3">
        <v>130.30000000000001</v>
      </c>
      <c r="G262" s="3">
        <v>135.30000000000001</v>
      </c>
      <c r="H262" s="3">
        <v>119.9</v>
      </c>
      <c r="I262" s="3">
        <v>140.19999999999999</v>
      </c>
      <c r="J262" s="3">
        <v>156.9</v>
      </c>
      <c r="K262" s="3">
        <v>172.2</v>
      </c>
      <c r="L262" s="3">
        <v>112.1</v>
      </c>
      <c r="M262" s="3">
        <v>134.9</v>
      </c>
      <c r="N262" s="3">
        <v>128.1</v>
      </c>
      <c r="O262" s="3">
        <v>140.69999999999999</v>
      </c>
      <c r="P262" s="3">
        <v>138</v>
      </c>
      <c r="Q262" s="3">
        <v>1777.4999999999998</v>
      </c>
      <c r="R262" s="3">
        <v>138.9</v>
      </c>
      <c r="S262" s="3">
        <v>137.80000000000001</v>
      </c>
      <c r="T262" s="3">
        <v>133</v>
      </c>
      <c r="U262" s="3">
        <v>137.1</v>
      </c>
      <c r="V262" s="3">
        <v>407.9</v>
      </c>
      <c r="W262" t="s">
        <v>32</v>
      </c>
      <c r="X262" s="3">
        <v>126.5</v>
      </c>
      <c r="Y262" s="3">
        <v>129.1</v>
      </c>
      <c r="Z262" s="3">
        <v>130.6</v>
      </c>
      <c r="AA262" s="3">
        <v>127</v>
      </c>
      <c r="AB262" s="3">
        <v>116</v>
      </c>
      <c r="AC262" s="3">
        <v>125.5</v>
      </c>
      <c r="AD262" s="3">
        <v>131.9</v>
      </c>
      <c r="AE262" s="3">
        <v>122</v>
      </c>
      <c r="AF262" s="3">
        <v>124.2</v>
      </c>
      <c r="AG262" s="3">
        <v>618.30000000000007</v>
      </c>
      <c r="AH262" s="3">
        <v>133.5</v>
      </c>
      <c r="AI262" s="10" t="str">
        <f t="shared" si="4"/>
        <v>2016 August</v>
      </c>
    </row>
    <row r="263" spans="1:35">
      <c r="A263" t="s">
        <v>33</v>
      </c>
      <c r="B263">
        <v>2016</v>
      </c>
      <c r="C263" t="s">
        <v>41</v>
      </c>
      <c r="D263" s="3">
        <v>127.6</v>
      </c>
      <c r="E263" s="3">
        <v>140.30000000000001</v>
      </c>
      <c r="F263" s="3">
        <v>133.69999999999999</v>
      </c>
      <c r="G263" s="3">
        <v>132.19999999999999</v>
      </c>
      <c r="H263" s="3">
        <v>111.8</v>
      </c>
      <c r="I263" s="3">
        <v>135.80000000000001</v>
      </c>
      <c r="J263" s="3">
        <v>163.5</v>
      </c>
      <c r="K263" s="3">
        <v>182.3</v>
      </c>
      <c r="L263" s="3">
        <v>114.6</v>
      </c>
      <c r="M263" s="3">
        <v>144.6</v>
      </c>
      <c r="N263" s="3">
        <v>121.9</v>
      </c>
      <c r="O263" s="3">
        <v>138.1</v>
      </c>
      <c r="P263" s="3">
        <v>137.6</v>
      </c>
      <c r="Q263" s="3">
        <v>1783.9999999999995</v>
      </c>
      <c r="R263" s="3">
        <v>143.6</v>
      </c>
      <c r="S263" s="3">
        <v>128.30000000000001</v>
      </c>
      <c r="T263" s="3">
        <v>121.4</v>
      </c>
      <c r="U263" s="3">
        <v>127.3</v>
      </c>
      <c r="V263" s="3">
        <v>377</v>
      </c>
      <c r="W263">
        <v>127.3</v>
      </c>
      <c r="X263" s="3">
        <v>127.3</v>
      </c>
      <c r="Y263" s="3">
        <v>114.7</v>
      </c>
      <c r="Z263" s="3">
        <v>123.9</v>
      </c>
      <c r="AA263" s="3">
        <v>121.2</v>
      </c>
      <c r="AB263" s="3">
        <v>110.4</v>
      </c>
      <c r="AC263" s="3">
        <v>120.6</v>
      </c>
      <c r="AD263" s="3">
        <v>131.5</v>
      </c>
      <c r="AE263" s="3">
        <v>120.9</v>
      </c>
      <c r="AF263" s="3">
        <v>119.9</v>
      </c>
      <c r="AG263" s="3">
        <v>595.69999999999993</v>
      </c>
      <c r="AH263" s="3">
        <v>128.4</v>
      </c>
      <c r="AI263" s="10" t="str">
        <f t="shared" si="4"/>
        <v>2016 August</v>
      </c>
    </row>
    <row r="264" spans="1:35">
      <c r="A264" t="s">
        <v>30</v>
      </c>
      <c r="B264">
        <v>2016</v>
      </c>
      <c r="C264" t="s">
        <v>37</v>
      </c>
      <c r="D264" s="3">
        <v>127.4</v>
      </c>
      <c r="E264" s="3">
        <v>135.4</v>
      </c>
      <c r="F264" s="3">
        <v>123.4</v>
      </c>
      <c r="G264" s="3">
        <v>131.30000000000001</v>
      </c>
      <c r="H264" s="3">
        <v>118.2</v>
      </c>
      <c r="I264" s="3">
        <v>138.1</v>
      </c>
      <c r="J264" s="3">
        <v>134.1</v>
      </c>
      <c r="K264" s="3">
        <v>162.69999999999999</v>
      </c>
      <c r="L264" s="3">
        <v>105</v>
      </c>
      <c r="M264" s="3">
        <v>131.4</v>
      </c>
      <c r="N264" s="3">
        <v>125.4</v>
      </c>
      <c r="O264" s="3">
        <v>137.4</v>
      </c>
      <c r="P264" s="3">
        <v>131.80000000000001</v>
      </c>
      <c r="Q264" s="3">
        <v>1701.6000000000004</v>
      </c>
      <c r="R264" s="3">
        <v>135.5</v>
      </c>
      <c r="S264" s="3">
        <v>135</v>
      </c>
      <c r="T264" s="3">
        <v>130.6</v>
      </c>
      <c r="U264" s="3">
        <v>134.4</v>
      </c>
      <c r="V264" s="3">
        <v>400</v>
      </c>
      <c r="W264" t="s">
        <v>32</v>
      </c>
      <c r="X264" s="3">
        <v>126.5</v>
      </c>
      <c r="Y264" s="3">
        <v>127</v>
      </c>
      <c r="Z264" s="3">
        <v>128</v>
      </c>
      <c r="AA264" s="3">
        <v>125.2</v>
      </c>
      <c r="AB264" s="3">
        <v>114.4</v>
      </c>
      <c r="AC264" s="3">
        <v>123.2</v>
      </c>
      <c r="AD264" s="3">
        <v>127.9</v>
      </c>
      <c r="AE264" s="3">
        <v>118.4</v>
      </c>
      <c r="AF264" s="3">
        <v>121.7</v>
      </c>
      <c r="AG264" s="3">
        <v>605.70000000000005</v>
      </c>
      <c r="AH264" s="3">
        <v>129</v>
      </c>
      <c r="AI264" s="10" t="str">
        <f t="shared" si="4"/>
        <v>2016 April</v>
      </c>
    </row>
    <row r="265" spans="1:35">
      <c r="A265" t="s">
        <v>33</v>
      </c>
      <c r="B265">
        <v>2016</v>
      </c>
      <c r="C265" t="s">
        <v>37</v>
      </c>
      <c r="D265" s="3">
        <v>124.9</v>
      </c>
      <c r="E265" s="3">
        <v>139.30000000000001</v>
      </c>
      <c r="F265" s="3">
        <v>119.9</v>
      </c>
      <c r="G265" s="3">
        <v>130.19999999999999</v>
      </c>
      <c r="H265" s="3">
        <v>108.9</v>
      </c>
      <c r="I265" s="3">
        <v>131.1</v>
      </c>
      <c r="J265" s="3">
        <v>136.80000000000001</v>
      </c>
      <c r="K265" s="3">
        <v>176.9</v>
      </c>
      <c r="L265" s="3">
        <v>109.1</v>
      </c>
      <c r="M265" s="3">
        <v>140.4</v>
      </c>
      <c r="N265" s="3">
        <v>121.1</v>
      </c>
      <c r="O265" s="3">
        <v>135.9</v>
      </c>
      <c r="P265" s="3">
        <v>131.80000000000001</v>
      </c>
      <c r="Q265" s="3">
        <v>1706.3</v>
      </c>
      <c r="R265" s="3">
        <v>141.5</v>
      </c>
      <c r="S265" s="3">
        <v>126.8</v>
      </c>
      <c r="T265" s="3">
        <v>120.5</v>
      </c>
      <c r="U265" s="3">
        <v>125.8</v>
      </c>
      <c r="V265" s="3">
        <v>373.1</v>
      </c>
      <c r="W265">
        <v>125.6</v>
      </c>
      <c r="X265" s="3">
        <v>125.6</v>
      </c>
      <c r="Y265" s="3">
        <v>114.6</v>
      </c>
      <c r="Z265" s="3">
        <v>122.8</v>
      </c>
      <c r="AA265" s="3">
        <v>120</v>
      </c>
      <c r="AB265" s="3">
        <v>110</v>
      </c>
      <c r="AC265" s="3">
        <v>119.5</v>
      </c>
      <c r="AD265" s="3">
        <v>127.6</v>
      </c>
      <c r="AE265" s="3">
        <v>117.6</v>
      </c>
      <c r="AF265" s="3">
        <v>118.2</v>
      </c>
      <c r="AG265" s="3">
        <v>588.1</v>
      </c>
      <c r="AH265" s="3">
        <v>125.3</v>
      </c>
      <c r="AI265" s="10" t="str">
        <f t="shared" si="4"/>
        <v>2016 April</v>
      </c>
    </row>
    <row r="266" spans="1:35">
      <c r="A266" t="s">
        <v>30</v>
      </c>
      <c r="B266">
        <v>2015</v>
      </c>
      <c r="C266" t="s">
        <v>42</v>
      </c>
      <c r="D266" s="3">
        <v>125.1</v>
      </c>
      <c r="E266" s="3">
        <v>131.1</v>
      </c>
      <c r="F266" s="3">
        <v>120.7</v>
      </c>
      <c r="G266" s="3">
        <v>129.19999999999999</v>
      </c>
      <c r="H266" s="3">
        <v>114.7</v>
      </c>
      <c r="I266" s="3">
        <v>132.30000000000001</v>
      </c>
      <c r="J266" s="3">
        <v>158.9</v>
      </c>
      <c r="K266" s="3">
        <v>142.1</v>
      </c>
      <c r="L266" s="3">
        <v>92.5</v>
      </c>
      <c r="M266" s="3">
        <v>125.4</v>
      </c>
      <c r="N266" s="3">
        <v>121.9</v>
      </c>
      <c r="O266" s="3">
        <v>132.69999999999999</v>
      </c>
      <c r="P266" s="3">
        <v>131</v>
      </c>
      <c r="Q266" s="3">
        <v>1657.6000000000001</v>
      </c>
      <c r="R266" s="3">
        <v>131</v>
      </c>
      <c r="S266" s="3">
        <v>130.4</v>
      </c>
      <c r="T266" s="3">
        <v>126.8</v>
      </c>
      <c r="U266" s="3">
        <v>129.9</v>
      </c>
      <c r="V266" s="3">
        <v>387.1</v>
      </c>
      <c r="W266" t="s">
        <v>32</v>
      </c>
      <c r="X266" s="3">
        <v>120.1</v>
      </c>
      <c r="Y266" s="3">
        <v>123.7</v>
      </c>
      <c r="Z266" s="3">
        <v>124.5</v>
      </c>
      <c r="AA266" s="3">
        <v>121.4</v>
      </c>
      <c r="AB266" s="3">
        <v>113.8</v>
      </c>
      <c r="AC266" s="3">
        <v>119.6</v>
      </c>
      <c r="AD266" s="3">
        <v>124.5</v>
      </c>
      <c r="AE266" s="3">
        <v>113.7</v>
      </c>
      <c r="AF266" s="3">
        <v>118.8</v>
      </c>
      <c r="AG266" s="3">
        <v>590.4</v>
      </c>
      <c r="AH266" s="3">
        <v>127</v>
      </c>
      <c r="AI266" s="10" t="str">
        <f t="shared" si="4"/>
        <v>2015 September</v>
      </c>
    </row>
    <row r="267" spans="1:35">
      <c r="A267" t="s">
        <v>33</v>
      </c>
      <c r="B267">
        <v>2015</v>
      </c>
      <c r="C267" t="s">
        <v>42</v>
      </c>
      <c r="D267" s="3">
        <v>123.4</v>
      </c>
      <c r="E267" s="3">
        <v>129</v>
      </c>
      <c r="F267" s="3">
        <v>115.6</v>
      </c>
      <c r="G267" s="3">
        <v>128.30000000000001</v>
      </c>
      <c r="H267" s="3">
        <v>107</v>
      </c>
      <c r="I267" s="3">
        <v>124</v>
      </c>
      <c r="J267" s="3">
        <v>168.5</v>
      </c>
      <c r="K267" s="3">
        <v>165.4</v>
      </c>
      <c r="L267" s="3">
        <v>86.3</v>
      </c>
      <c r="M267" s="3">
        <v>134.4</v>
      </c>
      <c r="N267" s="3">
        <v>119.1</v>
      </c>
      <c r="O267" s="3">
        <v>132.30000000000001</v>
      </c>
      <c r="P267" s="3">
        <v>131.5</v>
      </c>
      <c r="Q267" s="3">
        <v>1664.8</v>
      </c>
      <c r="R267" s="3">
        <v>134.69999999999999</v>
      </c>
      <c r="S267" s="3">
        <v>124</v>
      </c>
      <c r="T267" s="3">
        <v>118.6</v>
      </c>
      <c r="U267" s="3">
        <v>123.2</v>
      </c>
      <c r="V267" s="3">
        <v>365.8</v>
      </c>
      <c r="W267">
        <v>121.6</v>
      </c>
      <c r="X267" s="3">
        <v>121.6</v>
      </c>
      <c r="Y267" s="3">
        <v>115.1</v>
      </c>
      <c r="Z267" s="3">
        <v>120.4</v>
      </c>
      <c r="AA267" s="3">
        <v>117.1</v>
      </c>
      <c r="AB267" s="3">
        <v>109.1</v>
      </c>
      <c r="AC267" s="3">
        <v>117.3</v>
      </c>
      <c r="AD267" s="3">
        <v>126.5</v>
      </c>
      <c r="AE267" s="3">
        <v>112.9</v>
      </c>
      <c r="AF267" s="3">
        <v>116.2</v>
      </c>
      <c r="AG267" s="3">
        <v>575.90000000000009</v>
      </c>
      <c r="AH267" s="3">
        <v>123.5</v>
      </c>
      <c r="AI267" s="10" t="str">
        <f t="shared" si="4"/>
        <v>2015 September</v>
      </c>
    </row>
    <row r="268" spans="1:35">
      <c r="A268" t="s">
        <v>34</v>
      </c>
      <c r="B268">
        <v>2015</v>
      </c>
      <c r="C268" t="s">
        <v>42</v>
      </c>
      <c r="D268" s="3">
        <v>124.6</v>
      </c>
      <c r="E268" s="3">
        <v>130.4</v>
      </c>
      <c r="F268" s="3">
        <v>118.7</v>
      </c>
      <c r="G268" s="3">
        <v>128.9</v>
      </c>
      <c r="H268" s="3">
        <v>111.9</v>
      </c>
      <c r="I268" s="3">
        <v>128.4</v>
      </c>
      <c r="J268" s="3">
        <v>162.19999999999999</v>
      </c>
      <c r="K268" s="3">
        <v>150</v>
      </c>
      <c r="L268" s="3">
        <v>90.4</v>
      </c>
      <c r="M268" s="3">
        <v>128.4</v>
      </c>
      <c r="N268" s="3">
        <v>120.7</v>
      </c>
      <c r="O268" s="3">
        <v>132.5</v>
      </c>
      <c r="P268" s="3">
        <v>131.19999999999999</v>
      </c>
      <c r="Q268" s="3">
        <v>1658.3000000000002</v>
      </c>
      <c r="R268" s="3">
        <v>132</v>
      </c>
      <c r="S268" s="3">
        <v>127.9</v>
      </c>
      <c r="T268" s="3">
        <v>123.4</v>
      </c>
      <c r="U268" s="3">
        <v>127.2</v>
      </c>
      <c r="V268" s="3">
        <v>378.5</v>
      </c>
      <c r="W268">
        <v>121.6</v>
      </c>
      <c r="X268" s="3">
        <v>121.6</v>
      </c>
      <c r="Y268" s="3">
        <v>120.4</v>
      </c>
      <c r="Z268" s="3">
        <v>122.6</v>
      </c>
      <c r="AA268" s="3">
        <v>119.8</v>
      </c>
      <c r="AB268" s="3">
        <v>111.3</v>
      </c>
      <c r="AC268" s="3">
        <v>118.3</v>
      </c>
      <c r="AD268" s="3">
        <v>125.7</v>
      </c>
      <c r="AE268" s="3">
        <v>113.4</v>
      </c>
      <c r="AF268" s="3">
        <v>117.5</v>
      </c>
      <c r="AG268" s="3">
        <v>583.1</v>
      </c>
      <c r="AH268" s="3">
        <v>125.4</v>
      </c>
      <c r="AI268" s="10" t="str">
        <f t="shared" si="4"/>
        <v>2015 September</v>
      </c>
    </row>
    <row r="269" spans="1:35">
      <c r="A269" t="s">
        <v>30</v>
      </c>
      <c r="B269">
        <v>2015</v>
      </c>
      <c r="C269" t="s">
        <v>43</v>
      </c>
      <c r="D269" s="3">
        <v>125.6</v>
      </c>
      <c r="E269" s="3">
        <v>130.4</v>
      </c>
      <c r="F269" s="3">
        <v>120.8</v>
      </c>
      <c r="G269" s="3">
        <v>129.4</v>
      </c>
      <c r="H269" s="3">
        <v>115.8</v>
      </c>
      <c r="I269" s="3">
        <v>133.19999999999999</v>
      </c>
      <c r="J269" s="3">
        <v>157.69999999999999</v>
      </c>
      <c r="K269" s="3">
        <v>154.19999999999999</v>
      </c>
      <c r="L269" s="3">
        <v>93.7</v>
      </c>
      <c r="M269" s="3">
        <v>126.6</v>
      </c>
      <c r="N269" s="3">
        <v>122.3</v>
      </c>
      <c r="O269" s="3">
        <v>133.1</v>
      </c>
      <c r="P269" s="3">
        <v>131.80000000000001</v>
      </c>
      <c r="Q269" s="3">
        <v>1674.6</v>
      </c>
      <c r="R269" s="3">
        <v>131.5</v>
      </c>
      <c r="S269" s="3">
        <v>131.1</v>
      </c>
      <c r="T269" s="3">
        <v>127.3</v>
      </c>
      <c r="U269" s="3">
        <v>130.6</v>
      </c>
      <c r="V269" s="3">
        <v>389</v>
      </c>
      <c r="W269" t="s">
        <v>32</v>
      </c>
      <c r="X269" s="3">
        <v>120.1</v>
      </c>
      <c r="Y269" s="3">
        <v>124.4</v>
      </c>
      <c r="Z269" s="3">
        <v>125.1</v>
      </c>
      <c r="AA269" s="3">
        <v>122</v>
      </c>
      <c r="AB269" s="3">
        <v>113.8</v>
      </c>
      <c r="AC269" s="3">
        <v>120.1</v>
      </c>
      <c r="AD269" s="3">
        <v>125.1</v>
      </c>
      <c r="AE269" s="3">
        <v>114.2</v>
      </c>
      <c r="AF269" s="3">
        <v>119.2</v>
      </c>
      <c r="AG269" s="3">
        <v>592.4</v>
      </c>
      <c r="AH269" s="3">
        <v>127.7</v>
      </c>
      <c r="AI269" s="10" t="str">
        <f t="shared" si="4"/>
        <v>2015 October</v>
      </c>
    </row>
    <row r="270" spans="1:35">
      <c r="A270" t="s">
        <v>33</v>
      </c>
      <c r="B270">
        <v>2015</v>
      </c>
      <c r="C270" t="s">
        <v>43</v>
      </c>
      <c r="D270" s="3">
        <v>123.6</v>
      </c>
      <c r="E270" s="3">
        <v>128.6</v>
      </c>
      <c r="F270" s="3">
        <v>115.9</v>
      </c>
      <c r="G270" s="3">
        <v>128.5</v>
      </c>
      <c r="H270" s="3">
        <v>109</v>
      </c>
      <c r="I270" s="3">
        <v>124.1</v>
      </c>
      <c r="J270" s="3">
        <v>165.8</v>
      </c>
      <c r="K270" s="3">
        <v>187.2</v>
      </c>
      <c r="L270" s="3">
        <v>89.4</v>
      </c>
      <c r="M270" s="3">
        <v>135.80000000000001</v>
      </c>
      <c r="N270" s="3">
        <v>119.4</v>
      </c>
      <c r="O270" s="3">
        <v>132.9</v>
      </c>
      <c r="P270" s="3">
        <v>132.6</v>
      </c>
      <c r="Q270" s="3">
        <v>1692.8000000000002</v>
      </c>
      <c r="R270" s="3">
        <v>135.30000000000001</v>
      </c>
      <c r="S270" s="3">
        <v>124.4</v>
      </c>
      <c r="T270" s="3">
        <v>118.8</v>
      </c>
      <c r="U270" s="3">
        <v>123.6</v>
      </c>
      <c r="V270" s="3">
        <v>366.79999999999995</v>
      </c>
      <c r="W270">
        <v>122.4</v>
      </c>
      <c r="X270" s="3">
        <v>122.4</v>
      </c>
      <c r="Y270" s="3">
        <v>114.9</v>
      </c>
      <c r="Z270" s="3">
        <v>120.7</v>
      </c>
      <c r="AA270" s="3">
        <v>117.7</v>
      </c>
      <c r="AB270" s="3">
        <v>109.3</v>
      </c>
      <c r="AC270" s="3">
        <v>117.7</v>
      </c>
      <c r="AD270" s="3">
        <v>126.5</v>
      </c>
      <c r="AE270" s="3">
        <v>113.5</v>
      </c>
      <c r="AF270" s="3">
        <v>116.5</v>
      </c>
      <c r="AG270" s="3">
        <v>577.70000000000005</v>
      </c>
      <c r="AH270" s="3">
        <v>124.2</v>
      </c>
      <c r="AI270" s="10" t="str">
        <f t="shared" si="4"/>
        <v>2015 October</v>
      </c>
    </row>
    <row r="271" spans="1:35">
      <c r="A271" t="s">
        <v>34</v>
      </c>
      <c r="B271">
        <v>2015</v>
      </c>
      <c r="C271" t="s">
        <v>43</v>
      </c>
      <c r="D271" s="3">
        <v>125</v>
      </c>
      <c r="E271" s="3">
        <v>129.80000000000001</v>
      </c>
      <c r="F271" s="3">
        <v>118.9</v>
      </c>
      <c r="G271" s="3">
        <v>129.1</v>
      </c>
      <c r="H271" s="3">
        <v>113.3</v>
      </c>
      <c r="I271" s="3">
        <v>129</v>
      </c>
      <c r="J271" s="3">
        <v>160.4</v>
      </c>
      <c r="K271" s="3">
        <v>165.3</v>
      </c>
      <c r="L271" s="3">
        <v>92.3</v>
      </c>
      <c r="M271" s="3">
        <v>129.69999999999999</v>
      </c>
      <c r="N271" s="3">
        <v>121.1</v>
      </c>
      <c r="O271" s="3">
        <v>133</v>
      </c>
      <c r="P271" s="3">
        <v>132.1</v>
      </c>
      <c r="Q271" s="3">
        <v>1678.9999999999998</v>
      </c>
      <c r="R271" s="3">
        <v>132.5</v>
      </c>
      <c r="S271" s="3">
        <v>128.5</v>
      </c>
      <c r="T271" s="3">
        <v>123.8</v>
      </c>
      <c r="U271" s="3">
        <v>127.8</v>
      </c>
      <c r="V271" s="3">
        <v>380.1</v>
      </c>
      <c r="W271">
        <v>122.4</v>
      </c>
      <c r="X271" s="3">
        <v>122.4</v>
      </c>
      <c r="Y271" s="3">
        <v>120.8</v>
      </c>
      <c r="Z271" s="3">
        <v>123</v>
      </c>
      <c r="AA271" s="3">
        <v>120.4</v>
      </c>
      <c r="AB271" s="3">
        <v>111.4</v>
      </c>
      <c r="AC271" s="3">
        <v>118.7</v>
      </c>
      <c r="AD271" s="3">
        <v>125.9</v>
      </c>
      <c r="AE271" s="3">
        <v>113.9</v>
      </c>
      <c r="AF271" s="3">
        <v>117.9</v>
      </c>
      <c r="AG271" s="3">
        <v>584.9</v>
      </c>
      <c r="AH271" s="3">
        <v>126.1</v>
      </c>
      <c r="AI271" s="10" t="str">
        <f t="shared" si="4"/>
        <v>2015 October</v>
      </c>
    </row>
    <row r="272" spans="1:35">
      <c r="A272" t="s">
        <v>30</v>
      </c>
      <c r="B272">
        <v>2015</v>
      </c>
      <c r="C272" t="s">
        <v>45</v>
      </c>
      <c r="D272" s="3">
        <v>126.1</v>
      </c>
      <c r="E272" s="3">
        <v>130.6</v>
      </c>
      <c r="F272" s="3">
        <v>121.7</v>
      </c>
      <c r="G272" s="3">
        <v>129.5</v>
      </c>
      <c r="H272" s="3">
        <v>117.8</v>
      </c>
      <c r="I272" s="3">
        <v>132.1</v>
      </c>
      <c r="J272" s="3">
        <v>155.19999999999999</v>
      </c>
      <c r="K272" s="3">
        <v>160.80000000000001</v>
      </c>
      <c r="L272" s="3">
        <v>94.5</v>
      </c>
      <c r="M272" s="3">
        <v>128.30000000000001</v>
      </c>
      <c r="N272" s="3">
        <v>123.1</v>
      </c>
      <c r="O272" s="3">
        <v>134.19999999999999</v>
      </c>
      <c r="P272" s="3">
        <v>132.4</v>
      </c>
      <c r="Q272" s="3">
        <v>1686.3</v>
      </c>
      <c r="R272" s="3">
        <v>132.19999999999999</v>
      </c>
      <c r="S272" s="3">
        <v>132.1</v>
      </c>
      <c r="T272" s="3">
        <v>128.19999999999999</v>
      </c>
      <c r="U272" s="3">
        <v>131.5</v>
      </c>
      <c r="V272" s="3">
        <v>391.79999999999995</v>
      </c>
      <c r="W272" t="s">
        <v>32</v>
      </c>
      <c r="X272" s="3">
        <v>120.1</v>
      </c>
      <c r="Y272" s="3">
        <v>125.6</v>
      </c>
      <c r="Z272" s="3">
        <v>125.6</v>
      </c>
      <c r="AA272" s="3">
        <v>122.6</v>
      </c>
      <c r="AB272" s="3">
        <v>114</v>
      </c>
      <c r="AC272" s="3">
        <v>120.9</v>
      </c>
      <c r="AD272" s="3">
        <v>125.8</v>
      </c>
      <c r="AE272" s="3">
        <v>114.2</v>
      </c>
      <c r="AF272" s="3">
        <v>119.6</v>
      </c>
      <c r="AG272" s="3">
        <v>594.29999999999995</v>
      </c>
      <c r="AH272" s="3">
        <v>128.30000000000001</v>
      </c>
      <c r="AI272" s="10" t="str">
        <f t="shared" si="4"/>
        <v>2015 November</v>
      </c>
    </row>
    <row r="273" spans="1:35">
      <c r="A273" t="s">
        <v>33</v>
      </c>
      <c r="B273">
        <v>2015</v>
      </c>
      <c r="C273" t="s">
        <v>45</v>
      </c>
      <c r="D273" s="3">
        <v>124</v>
      </c>
      <c r="E273" s="3">
        <v>129.80000000000001</v>
      </c>
      <c r="F273" s="3">
        <v>121.5</v>
      </c>
      <c r="G273" s="3">
        <v>128.6</v>
      </c>
      <c r="H273" s="3">
        <v>110</v>
      </c>
      <c r="I273" s="3">
        <v>123.7</v>
      </c>
      <c r="J273" s="3">
        <v>164.6</v>
      </c>
      <c r="K273" s="3">
        <v>191.6</v>
      </c>
      <c r="L273" s="3">
        <v>90.8</v>
      </c>
      <c r="M273" s="3">
        <v>137.1</v>
      </c>
      <c r="N273" s="3">
        <v>119.8</v>
      </c>
      <c r="O273" s="3">
        <v>133.69999999999999</v>
      </c>
      <c r="P273" s="3">
        <v>133.30000000000001</v>
      </c>
      <c r="Q273" s="3">
        <v>1708.4999999999998</v>
      </c>
      <c r="R273" s="3">
        <v>137.6</v>
      </c>
      <c r="S273" s="3">
        <v>125</v>
      </c>
      <c r="T273" s="3">
        <v>119.3</v>
      </c>
      <c r="U273" s="3">
        <v>124.2</v>
      </c>
      <c r="V273" s="3">
        <v>368.5</v>
      </c>
      <c r="W273">
        <v>122.9</v>
      </c>
      <c r="X273" s="3">
        <v>122.9</v>
      </c>
      <c r="Y273" s="3">
        <v>115.1</v>
      </c>
      <c r="Z273" s="3">
        <v>121</v>
      </c>
      <c r="AA273" s="3">
        <v>118.1</v>
      </c>
      <c r="AB273" s="3">
        <v>109.3</v>
      </c>
      <c r="AC273" s="3">
        <v>117.9</v>
      </c>
      <c r="AD273" s="3">
        <v>126.6</v>
      </c>
      <c r="AE273" s="3">
        <v>113.3</v>
      </c>
      <c r="AF273" s="3">
        <v>116.6</v>
      </c>
      <c r="AG273" s="3">
        <v>578.1</v>
      </c>
      <c r="AH273" s="3">
        <v>124.6</v>
      </c>
      <c r="AI273" s="10" t="str">
        <f t="shared" si="4"/>
        <v>2015 November</v>
      </c>
    </row>
    <row r="274" spans="1:35">
      <c r="A274" t="s">
        <v>34</v>
      </c>
      <c r="B274">
        <v>2015</v>
      </c>
      <c r="C274" t="s">
        <v>45</v>
      </c>
      <c r="D274" s="3">
        <v>125.4</v>
      </c>
      <c r="E274" s="3">
        <v>130.30000000000001</v>
      </c>
      <c r="F274" s="3">
        <v>121.6</v>
      </c>
      <c r="G274" s="3">
        <v>129.19999999999999</v>
      </c>
      <c r="H274" s="3">
        <v>114.9</v>
      </c>
      <c r="I274" s="3">
        <v>128.19999999999999</v>
      </c>
      <c r="J274" s="3">
        <v>158.4</v>
      </c>
      <c r="K274" s="3">
        <v>171.2</v>
      </c>
      <c r="L274" s="3">
        <v>93.3</v>
      </c>
      <c r="M274" s="3">
        <v>131.19999999999999</v>
      </c>
      <c r="N274" s="3">
        <v>121.7</v>
      </c>
      <c r="O274" s="3">
        <v>134</v>
      </c>
      <c r="P274" s="3">
        <v>132.69999999999999</v>
      </c>
      <c r="Q274" s="3">
        <v>1692.1</v>
      </c>
      <c r="R274" s="3">
        <v>133.6</v>
      </c>
      <c r="S274" s="3">
        <v>129.30000000000001</v>
      </c>
      <c r="T274" s="3">
        <v>124.5</v>
      </c>
      <c r="U274" s="3">
        <v>128.6</v>
      </c>
      <c r="V274" s="3">
        <v>382.4</v>
      </c>
      <c r="W274">
        <v>122.9</v>
      </c>
      <c r="X274" s="3">
        <v>122.9</v>
      </c>
      <c r="Y274" s="3">
        <v>121.6</v>
      </c>
      <c r="Z274" s="3">
        <v>123.4</v>
      </c>
      <c r="AA274" s="3">
        <v>120.9</v>
      </c>
      <c r="AB274" s="3">
        <v>111.5</v>
      </c>
      <c r="AC274" s="3">
        <v>119.2</v>
      </c>
      <c r="AD274" s="3">
        <v>126.3</v>
      </c>
      <c r="AE274" s="3">
        <v>113.8</v>
      </c>
      <c r="AF274" s="3">
        <v>118.1</v>
      </c>
      <c r="AG274" s="3">
        <v>586</v>
      </c>
      <c r="AH274" s="3">
        <v>126.6</v>
      </c>
      <c r="AI274" s="10" t="str">
        <f t="shared" si="4"/>
        <v>2015 November</v>
      </c>
    </row>
    <row r="275" spans="1:35">
      <c r="A275" t="s">
        <v>30</v>
      </c>
      <c r="B275">
        <v>2015</v>
      </c>
      <c r="C275" t="s">
        <v>38</v>
      </c>
      <c r="D275" s="3">
        <v>123.5</v>
      </c>
      <c r="E275" s="3">
        <v>127.1</v>
      </c>
      <c r="F275" s="3">
        <v>117.3</v>
      </c>
      <c r="G275" s="3">
        <v>127.7</v>
      </c>
      <c r="H275" s="3">
        <v>112.5</v>
      </c>
      <c r="I275" s="3">
        <v>134.1</v>
      </c>
      <c r="J275" s="3">
        <v>128.5</v>
      </c>
      <c r="K275" s="3">
        <v>124.3</v>
      </c>
      <c r="L275" s="3">
        <v>97.6</v>
      </c>
      <c r="M275" s="3">
        <v>120.7</v>
      </c>
      <c r="N275" s="3">
        <v>120.2</v>
      </c>
      <c r="O275" s="3">
        <v>129.80000000000001</v>
      </c>
      <c r="P275" s="3">
        <v>124.4</v>
      </c>
      <c r="Q275" s="3">
        <v>1587.7</v>
      </c>
      <c r="R275" s="3">
        <v>126.7</v>
      </c>
      <c r="S275" s="3">
        <v>127.3</v>
      </c>
      <c r="T275" s="3">
        <v>124.1</v>
      </c>
      <c r="U275" s="3">
        <v>126.8</v>
      </c>
      <c r="V275" s="3">
        <v>378.2</v>
      </c>
      <c r="W275" t="s">
        <v>32</v>
      </c>
      <c r="X275" s="3">
        <v>120.1</v>
      </c>
      <c r="Y275" s="3">
        <v>121.9</v>
      </c>
      <c r="Z275" s="3">
        <v>121.5</v>
      </c>
      <c r="AA275" s="3">
        <v>119.4</v>
      </c>
      <c r="AB275" s="3">
        <v>113.3</v>
      </c>
      <c r="AC275" s="3">
        <v>116.7</v>
      </c>
      <c r="AD275" s="3">
        <v>120.5</v>
      </c>
      <c r="AE275" s="3">
        <v>112.3</v>
      </c>
      <c r="AF275" s="3">
        <v>116.9</v>
      </c>
      <c r="AG275" s="3">
        <v>580.70000000000005</v>
      </c>
      <c r="AH275" s="3">
        <v>122.4</v>
      </c>
      <c r="AI275" s="10" t="str">
        <f t="shared" si="4"/>
        <v>2015 May</v>
      </c>
    </row>
    <row r="276" spans="1:35">
      <c r="A276" t="s">
        <v>33</v>
      </c>
      <c r="B276">
        <v>2015</v>
      </c>
      <c r="C276" t="s">
        <v>38</v>
      </c>
      <c r="D276" s="3">
        <v>123.8</v>
      </c>
      <c r="E276" s="3">
        <v>129.69999999999999</v>
      </c>
      <c r="F276" s="3">
        <v>111.3</v>
      </c>
      <c r="G276" s="3">
        <v>126.6</v>
      </c>
      <c r="H276" s="3">
        <v>105.2</v>
      </c>
      <c r="I276" s="3">
        <v>130.80000000000001</v>
      </c>
      <c r="J276" s="3">
        <v>135.6</v>
      </c>
      <c r="K276" s="3">
        <v>142.6</v>
      </c>
      <c r="L276" s="3">
        <v>90.8</v>
      </c>
      <c r="M276" s="3">
        <v>128.80000000000001</v>
      </c>
      <c r="N276" s="3">
        <v>117.7</v>
      </c>
      <c r="O276" s="3">
        <v>129.9</v>
      </c>
      <c r="P276" s="3">
        <v>126.1</v>
      </c>
      <c r="Q276" s="3">
        <v>1598.9</v>
      </c>
      <c r="R276" s="3">
        <v>131.30000000000001</v>
      </c>
      <c r="S276" s="3">
        <v>122.4</v>
      </c>
      <c r="T276" s="3">
        <v>117.4</v>
      </c>
      <c r="U276" s="3">
        <v>121.6</v>
      </c>
      <c r="V276" s="3">
        <v>361.4</v>
      </c>
      <c r="W276">
        <v>119.6</v>
      </c>
      <c r="X276" s="3">
        <v>119.6</v>
      </c>
      <c r="Y276" s="3">
        <v>114.9</v>
      </c>
      <c r="Z276" s="3">
        <v>118.7</v>
      </c>
      <c r="AA276" s="3">
        <v>114.9</v>
      </c>
      <c r="AB276" s="3">
        <v>110.8</v>
      </c>
      <c r="AC276" s="3">
        <v>116</v>
      </c>
      <c r="AD276" s="3">
        <v>122</v>
      </c>
      <c r="AE276" s="3">
        <v>112.4</v>
      </c>
      <c r="AF276" s="3">
        <v>115.2</v>
      </c>
      <c r="AG276" s="3">
        <v>573.1</v>
      </c>
      <c r="AH276" s="3">
        <v>120.7</v>
      </c>
      <c r="AI276" s="10" t="str">
        <f t="shared" si="4"/>
        <v>2015 May</v>
      </c>
    </row>
    <row r="277" spans="1:35">
      <c r="A277" t="s">
        <v>34</v>
      </c>
      <c r="B277">
        <v>2015</v>
      </c>
      <c r="C277" t="s">
        <v>38</v>
      </c>
      <c r="D277" s="3">
        <v>123.6</v>
      </c>
      <c r="E277" s="3">
        <v>128</v>
      </c>
      <c r="F277" s="3">
        <v>115</v>
      </c>
      <c r="G277" s="3">
        <v>127.3</v>
      </c>
      <c r="H277" s="3">
        <v>109.8</v>
      </c>
      <c r="I277" s="3">
        <v>132.6</v>
      </c>
      <c r="J277" s="3">
        <v>130.9</v>
      </c>
      <c r="K277" s="3">
        <v>130.5</v>
      </c>
      <c r="L277" s="3">
        <v>95.3</v>
      </c>
      <c r="M277" s="3">
        <v>123.4</v>
      </c>
      <c r="N277" s="3">
        <v>119.2</v>
      </c>
      <c r="O277" s="3">
        <v>129.80000000000001</v>
      </c>
      <c r="P277" s="3">
        <v>125</v>
      </c>
      <c r="Q277" s="3">
        <v>1590.4</v>
      </c>
      <c r="R277" s="3">
        <v>127.9</v>
      </c>
      <c r="S277" s="3">
        <v>125.4</v>
      </c>
      <c r="T277" s="3">
        <v>121.3</v>
      </c>
      <c r="U277" s="3">
        <v>124.7</v>
      </c>
      <c r="V277" s="3">
        <v>371.4</v>
      </c>
      <c r="W277">
        <v>119.6</v>
      </c>
      <c r="X277" s="3">
        <v>119.6</v>
      </c>
      <c r="Y277" s="3">
        <v>119.2</v>
      </c>
      <c r="Z277" s="3">
        <v>120.2</v>
      </c>
      <c r="AA277" s="3">
        <v>117.7</v>
      </c>
      <c r="AB277" s="3">
        <v>112</v>
      </c>
      <c r="AC277" s="3">
        <v>116.3</v>
      </c>
      <c r="AD277" s="3">
        <v>121.4</v>
      </c>
      <c r="AE277" s="3">
        <v>112.3</v>
      </c>
      <c r="AF277" s="3">
        <v>116.1</v>
      </c>
      <c r="AG277" s="3">
        <v>576.9</v>
      </c>
      <c r="AH277" s="3">
        <v>121.6</v>
      </c>
      <c r="AI277" s="10" t="str">
        <f t="shared" si="4"/>
        <v>2015 May</v>
      </c>
    </row>
    <row r="278" spans="1:35">
      <c r="A278" t="s">
        <v>30</v>
      </c>
      <c r="B278">
        <v>2015</v>
      </c>
      <c r="C278" t="s">
        <v>36</v>
      </c>
      <c r="D278" s="3">
        <v>123.3</v>
      </c>
      <c r="E278" s="3">
        <v>124.7</v>
      </c>
      <c r="F278" s="3">
        <v>118.9</v>
      </c>
      <c r="G278" s="3">
        <v>126</v>
      </c>
      <c r="H278" s="3">
        <v>111.8</v>
      </c>
      <c r="I278" s="3">
        <v>130.9</v>
      </c>
      <c r="J278" s="3">
        <v>128</v>
      </c>
      <c r="K278" s="3">
        <v>119.9</v>
      </c>
      <c r="L278" s="3">
        <v>98.9</v>
      </c>
      <c r="M278" s="3">
        <v>119.4</v>
      </c>
      <c r="N278" s="3">
        <v>118.9</v>
      </c>
      <c r="O278" s="3">
        <v>127.7</v>
      </c>
      <c r="P278" s="3">
        <v>123.1</v>
      </c>
      <c r="Q278" s="3">
        <v>1571.5</v>
      </c>
      <c r="R278" s="3">
        <v>124.7</v>
      </c>
      <c r="S278" s="3">
        <v>126</v>
      </c>
      <c r="T278" s="3">
        <v>122.9</v>
      </c>
      <c r="U278" s="3">
        <v>125.5</v>
      </c>
      <c r="V278" s="3">
        <v>374.4</v>
      </c>
      <c r="W278" t="s">
        <v>32</v>
      </c>
      <c r="X278" s="3">
        <v>120.1</v>
      </c>
      <c r="Y278" s="3">
        <v>120.6</v>
      </c>
      <c r="Z278" s="3">
        <v>120.2</v>
      </c>
      <c r="AA278" s="3">
        <v>118.2</v>
      </c>
      <c r="AB278" s="3">
        <v>111.6</v>
      </c>
      <c r="AC278" s="3">
        <v>115.5</v>
      </c>
      <c r="AD278" s="3">
        <v>119.4</v>
      </c>
      <c r="AE278" s="3">
        <v>110.8</v>
      </c>
      <c r="AF278" s="3">
        <v>115.5</v>
      </c>
      <c r="AG278" s="3">
        <v>573.6</v>
      </c>
      <c r="AH278" s="3">
        <v>121.1</v>
      </c>
      <c r="AI278" s="10" t="str">
        <f t="shared" si="4"/>
        <v>2015 March</v>
      </c>
    </row>
    <row r="279" spans="1:35">
      <c r="A279" t="s">
        <v>33</v>
      </c>
      <c r="B279">
        <v>2015</v>
      </c>
      <c r="C279" t="s">
        <v>36</v>
      </c>
      <c r="D279" s="3">
        <v>124</v>
      </c>
      <c r="E279" s="3">
        <v>126.7</v>
      </c>
      <c r="F279" s="3">
        <v>113.5</v>
      </c>
      <c r="G279" s="3">
        <v>125.9</v>
      </c>
      <c r="H279" s="3">
        <v>104.8</v>
      </c>
      <c r="I279" s="3">
        <v>123.8</v>
      </c>
      <c r="J279" s="3">
        <v>131.4</v>
      </c>
      <c r="K279" s="3">
        <v>127.2</v>
      </c>
      <c r="L279" s="3">
        <v>93.2</v>
      </c>
      <c r="M279" s="3">
        <v>127.4</v>
      </c>
      <c r="N279" s="3">
        <v>117</v>
      </c>
      <c r="O279" s="3">
        <v>129.19999999999999</v>
      </c>
      <c r="P279" s="3">
        <v>123.9</v>
      </c>
      <c r="Q279" s="3">
        <v>1568.0000000000002</v>
      </c>
      <c r="R279" s="3">
        <v>128.80000000000001</v>
      </c>
      <c r="S279" s="3">
        <v>121.7</v>
      </c>
      <c r="T279" s="3">
        <v>116.9</v>
      </c>
      <c r="U279" s="3">
        <v>120.9</v>
      </c>
      <c r="V279" s="3">
        <v>359.5</v>
      </c>
      <c r="W279">
        <v>118.6</v>
      </c>
      <c r="X279" s="3">
        <v>118.6</v>
      </c>
      <c r="Y279" s="3">
        <v>114.4</v>
      </c>
      <c r="Z279" s="3">
        <v>118</v>
      </c>
      <c r="AA279" s="3">
        <v>114.3</v>
      </c>
      <c r="AB279" s="3">
        <v>108.4</v>
      </c>
      <c r="AC279" s="3">
        <v>115.4</v>
      </c>
      <c r="AD279" s="3">
        <v>120.6</v>
      </c>
      <c r="AE279" s="3">
        <v>111.3</v>
      </c>
      <c r="AF279" s="3">
        <v>113.8</v>
      </c>
      <c r="AG279" s="3">
        <v>566.9</v>
      </c>
      <c r="AH279" s="3">
        <v>119.1</v>
      </c>
      <c r="AI279" s="10" t="str">
        <f t="shared" si="4"/>
        <v>2015 March</v>
      </c>
    </row>
    <row r="280" spans="1:35">
      <c r="A280" t="s">
        <v>34</v>
      </c>
      <c r="B280">
        <v>2015</v>
      </c>
      <c r="C280" t="s">
        <v>36</v>
      </c>
      <c r="D280" s="3">
        <v>123.5</v>
      </c>
      <c r="E280" s="3">
        <v>125.4</v>
      </c>
      <c r="F280" s="3">
        <v>116.8</v>
      </c>
      <c r="G280" s="3">
        <v>126</v>
      </c>
      <c r="H280" s="3">
        <v>109.2</v>
      </c>
      <c r="I280" s="3">
        <v>127.6</v>
      </c>
      <c r="J280" s="3">
        <v>129.19999999999999</v>
      </c>
      <c r="K280" s="3">
        <v>122.4</v>
      </c>
      <c r="L280" s="3">
        <v>97</v>
      </c>
      <c r="M280" s="3">
        <v>122.1</v>
      </c>
      <c r="N280" s="3">
        <v>118.1</v>
      </c>
      <c r="O280" s="3">
        <v>128.4</v>
      </c>
      <c r="P280" s="3">
        <v>123.4</v>
      </c>
      <c r="Q280" s="3">
        <v>1569.1</v>
      </c>
      <c r="R280" s="3">
        <v>125.8</v>
      </c>
      <c r="S280" s="3">
        <v>124.3</v>
      </c>
      <c r="T280" s="3">
        <v>120.4</v>
      </c>
      <c r="U280" s="3">
        <v>123.7</v>
      </c>
      <c r="V280" s="3">
        <v>368.4</v>
      </c>
      <c r="W280">
        <v>118.6</v>
      </c>
      <c r="X280" s="3">
        <v>118.6</v>
      </c>
      <c r="Y280" s="3">
        <v>118.3</v>
      </c>
      <c r="Z280" s="3">
        <v>119.2</v>
      </c>
      <c r="AA280" s="3">
        <v>116.7</v>
      </c>
      <c r="AB280" s="3">
        <v>109.9</v>
      </c>
      <c r="AC280" s="3">
        <v>115.4</v>
      </c>
      <c r="AD280" s="3">
        <v>120.1</v>
      </c>
      <c r="AE280" s="3">
        <v>111</v>
      </c>
      <c r="AF280" s="3">
        <v>114.7</v>
      </c>
      <c r="AG280" s="3">
        <v>570.20000000000005</v>
      </c>
      <c r="AH280" s="3">
        <v>120.2</v>
      </c>
      <c r="AI280" s="10" t="str">
        <f t="shared" si="4"/>
        <v>2015 March</v>
      </c>
    </row>
    <row r="281" spans="1:35">
      <c r="A281" t="s">
        <v>30</v>
      </c>
      <c r="B281">
        <v>2015</v>
      </c>
      <c r="C281" t="s">
        <v>39</v>
      </c>
      <c r="D281" s="3">
        <v>124.1</v>
      </c>
      <c r="E281" s="3">
        <v>130.4</v>
      </c>
      <c r="F281" s="3">
        <v>122.1</v>
      </c>
      <c r="G281" s="3">
        <v>128.69999999999999</v>
      </c>
      <c r="H281" s="3">
        <v>114.1</v>
      </c>
      <c r="I281" s="3">
        <v>133.19999999999999</v>
      </c>
      <c r="J281" s="3">
        <v>135.19999999999999</v>
      </c>
      <c r="K281" s="3">
        <v>131.9</v>
      </c>
      <c r="L281" s="3">
        <v>96.3</v>
      </c>
      <c r="M281" s="3">
        <v>123</v>
      </c>
      <c r="N281" s="3">
        <v>121.1</v>
      </c>
      <c r="O281" s="3">
        <v>131.19999999999999</v>
      </c>
      <c r="P281" s="3">
        <v>126.6</v>
      </c>
      <c r="Q281" s="3">
        <v>1617.8999999999999</v>
      </c>
      <c r="R281" s="3">
        <v>128.19999999999999</v>
      </c>
      <c r="S281" s="3">
        <v>128.4</v>
      </c>
      <c r="T281" s="3">
        <v>125.1</v>
      </c>
      <c r="U281" s="3">
        <v>128</v>
      </c>
      <c r="V281" s="3">
        <v>381.5</v>
      </c>
      <c r="W281" t="s">
        <v>32</v>
      </c>
      <c r="X281" s="3">
        <v>120.1</v>
      </c>
      <c r="Y281" s="3">
        <v>122.6</v>
      </c>
      <c r="Z281" s="3">
        <v>122.8</v>
      </c>
      <c r="AA281" s="3">
        <v>120.4</v>
      </c>
      <c r="AB281" s="3">
        <v>114.2</v>
      </c>
      <c r="AC281" s="3">
        <v>117.9</v>
      </c>
      <c r="AD281" s="3">
        <v>122</v>
      </c>
      <c r="AE281" s="3">
        <v>113</v>
      </c>
      <c r="AF281" s="3">
        <v>117.9</v>
      </c>
      <c r="AG281" s="3">
        <v>585.79999999999995</v>
      </c>
      <c r="AH281" s="3">
        <v>124.1</v>
      </c>
      <c r="AI281" s="10" t="str">
        <f t="shared" si="4"/>
        <v>2015 June</v>
      </c>
    </row>
    <row r="282" spans="1:35">
      <c r="A282" t="s">
        <v>33</v>
      </c>
      <c r="B282">
        <v>2015</v>
      </c>
      <c r="C282" t="s">
        <v>39</v>
      </c>
      <c r="D282" s="3">
        <v>123.6</v>
      </c>
      <c r="E282" s="3">
        <v>134.4</v>
      </c>
      <c r="F282" s="3">
        <v>120.9</v>
      </c>
      <c r="G282" s="3">
        <v>127.3</v>
      </c>
      <c r="H282" s="3">
        <v>106</v>
      </c>
      <c r="I282" s="3">
        <v>132.30000000000001</v>
      </c>
      <c r="J282" s="3">
        <v>146.69999999999999</v>
      </c>
      <c r="K282" s="3">
        <v>148.1</v>
      </c>
      <c r="L282" s="3">
        <v>89.8</v>
      </c>
      <c r="M282" s="3">
        <v>130.5</v>
      </c>
      <c r="N282" s="3">
        <v>118</v>
      </c>
      <c r="O282" s="3">
        <v>130.5</v>
      </c>
      <c r="P282" s="3">
        <v>128.5</v>
      </c>
      <c r="Q282" s="3">
        <v>1636.6</v>
      </c>
      <c r="R282" s="3">
        <v>132.1</v>
      </c>
      <c r="S282" s="3">
        <v>123.2</v>
      </c>
      <c r="T282" s="3">
        <v>117.6</v>
      </c>
      <c r="U282" s="3">
        <v>122.3</v>
      </c>
      <c r="V282" s="3">
        <v>363.1</v>
      </c>
      <c r="W282">
        <v>119</v>
      </c>
      <c r="X282" s="3">
        <v>119</v>
      </c>
      <c r="Y282" s="3">
        <v>115.1</v>
      </c>
      <c r="Z282" s="3">
        <v>119.2</v>
      </c>
      <c r="AA282" s="3">
        <v>115.4</v>
      </c>
      <c r="AB282" s="3">
        <v>111.7</v>
      </c>
      <c r="AC282" s="3">
        <v>116.2</v>
      </c>
      <c r="AD282" s="3">
        <v>123.8</v>
      </c>
      <c r="AE282" s="3">
        <v>112.5</v>
      </c>
      <c r="AF282" s="3">
        <v>116</v>
      </c>
      <c r="AG282" s="3">
        <v>575.6</v>
      </c>
      <c r="AH282" s="3">
        <v>121.7</v>
      </c>
      <c r="AI282" s="10" t="str">
        <f t="shared" si="4"/>
        <v>2015 June</v>
      </c>
    </row>
    <row r="283" spans="1:35">
      <c r="A283" t="s">
        <v>34</v>
      </c>
      <c r="B283">
        <v>2015</v>
      </c>
      <c r="C283" t="s">
        <v>39</v>
      </c>
      <c r="D283" s="3">
        <v>123.9</v>
      </c>
      <c r="E283" s="3">
        <v>131.80000000000001</v>
      </c>
      <c r="F283" s="3">
        <v>121.6</v>
      </c>
      <c r="G283" s="3">
        <v>128.19999999999999</v>
      </c>
      <c r="H283" s="3">
        <v>111.1</v>
      </c>
      <c r="I283" s="3">
        <v>132.80000000000001</v>
      </c>
      <c r="J283" s="3">
        <v>139.1</v>
      </c>
      <c r="K283" s="3">
        <v>137.4</v>
      </c>
      <c r="L283" s="3">
        <v>94.1</v>
      </c>
      <c r="M283" s="3">
        <v>125.5</v>
      </c>
      <c r="N283" s="3">
        <v>119.8</v>
      </c>
      <c r="O283" s="3">
        <v>130.9</v>
      </c>
      <c r="P283" s="3">
        <v>127.3</v>
      </c>
      <c r="Q283" s="3">
        <v>1623.5</v>
      </c>
      <c r="R283" s="3">
        <v>129.19999999999999</v>
      </c>
      <c r="S283" s="3">
        <v>126.4</v>
      </c>
      <c r="T283" s="3">
        <v>122</v>
      </c>
      <c r="U283" s="3">
        <v>125.7</v>
      </c>
      <c r="V283" s="3">
        <v>374.1</v>
      </c>
      <c r="W283">
        <v>119</v>
      </c>
      <c r="X283" s="3">
        <v>119</v>
      </c>
      <c r="Y283" s="3">
        <v>119.8</v>
      </c>
      <c r="Z283" s="3">
        <v>121.1</v>
      </c>
      <c r="AA283" s="3">
        <v>118.5</v>
      </c>
      <c r="AB283" s="3">
        <v>112.9</v>
      </c>
      <c r="AC283" s="3">
        <v>116.9</v>
      </c>
      <c r="AD283" s="3">
        <v>123.1</v>
      </c>
      <c r="AE283" s="3">
        <v>112.8</v>
      </c>
      <c r="AF283" s="3">
        <v>117</v>
      </c>
      <c r="AG283" s="3">
        <v>580.70000000000005</v>
      </c>
      <c r="AH283" s="3">
        <v>123</v>
      </c>
      <c r="AI283" s="10" t="str">
        <f t="shared" si="4"/>
        <v>2015 June</v>
      </c>
    </row>
    <row r="284" spans="1:35">
      <c r="A284" t="s">
        <v>30</v>
      </c>
      <c r="B284">
        <v>2015</v>
      </c>
      <c r="C284" t="s">
        <v>40</v>
      </c>
      <c r="D284" s="3">
        <v>124</v>
      </c>
      <c r="E284" s="3">
        <v>131.5</v>
      </c>
      <c r="F284" s="3">
        <v>122</v>
      </c>
      <c r="G284" s="3">
        <v>128.69999999999999</v>
      </c>
      <c r="H284" s="3">
        <v>113.5</v>
      </c>
      <c r="I284" s="3">
        <v>133.30000000000001</v>
      </c>
      <c r="J284" s="3">
        <v>140.80000000000001</v>
      </c>
      <c r="K284" s="3">
        <v>133.80000000000001</v>
      </c>
      <c r="L284" s="3">
        <v>94.1</v>
      </c>
      <c r="M284" s="3">
        <v>123.4</v>
      </c>
      <c r="N284" s="3">
        <v>121</v>
      </c>
      <c r="O284" s="3">
        <v>131.69999999999999</v>
      </c>
      <c r="P284" s="3">
        <v>127.5</v>
      </c>
      <c r="Q284" s="3">
        <v>1625.3</v>
      </c>
      <c r="R284" s="3">
        <v>129.4</v>
      </c>
      <c r="S284" s="3">
        <v>128.80000000000001</v>
      </c>
      <c r="T284" s="3">
        <v>125.5</v>
      </c>
      <c r="U284" s="3">
        <v>128.30000000000001</v>
      </c>
      <c r="V284" s="3">
        <v>382.6</v>
      </c>
      <c r="W284" t="s">
        <v>32</v>
      </c>
      <c r="X284" s="3">
        <v>120.1</v>
      </c>
      <c r="Y284" s="3">
        <v>123</v>
      </c>
      <c r="Z284" s="3">
        <v>123</v>
      </c>
      <c r="AA284" s="3">
        <v>120.8</v>
      </c>
      <c r="AB284" s="3">
        <v>114.1</v>
      </c>
      <c r="AC284" s="3">
        <v>118</v>
      </c>
      <c r="AD284" s="3">
        <v>122.9</v>
      </c>
      <c r="AE284" s="3">
        <v>112.7</v>
      </c>
      <c r="AF284" s="3">
        <v>118.1</v>
      </c>
      <c r="AG284" s="3">
        <v>585.9</v>
      </c>
      <c r="AH284" s="3">
        <v>124.7</v>
      </c>
      <c r="AI284" s="10" t="str">
        <f t="shared" si="4"/>
        <v>2015 July</v>
      </c>
    </row>
    <row r="285" spans="1:35">
      <c r="A285" t="s">
        <v>33</v>
      </c>
      <c r="B285">
        <v>2015</v>
      </c>
      <c r="C285" t="s">
        <v>40</v>
      </c>
      <c r="D285" s="3">
        <v>123.2</v>
      </c>
      <c r="E285" s="3">
        <v>134.30000000000001</v>
      </c>
      <c r="F285" s="3">
        <v>119.5</v>
      </c>
      <c r="G285" s="3">
        <v>127.7</v>
      </c>
      <c r="H285" s="3">
        <v>106.3</v>
      </c>
      <c r="I285" s="3">
        <v>132.80000000000001</v>
      </c>
      <c r="J285" s="3">
        <v>153.5</v>
      </c>
      <c r="K285" s="3">
        <v>149.5</v>
      </c>
      <c r="L285" s="3">
        <v>85.7</v>
      </c>
      <c r="M285" s="3">
        <v>131.5</v>
      </c>
      <c r="N285" s="3">
        <v>118.3</v>
      </c>
      <c r="O285" s="3">
        <v>131.1</v>
      </c>
      <c r="P285" s="3">
        <v>129.5</v>
      </c>
      <c r="Q285" s="3">
        <v>1642.8999999999999</v>
      </c>
      <c r="R285" s="3">
        <v>133.1</v>
      </c>
      <c r="S285" s="3">
        <v>123.5</v>
      </c>
      <c r="T285" s="3">
        <v>117.9</v>
      </c>
      <c r="U285" s="3">
        <v>122.7</v>
      </c>
      <c r="V285" s="3">
        <v>364.1</v>
      </c>
      <c r="W285">
        <v>119.9</v>
      </c>
      <c r="X285" s="3">
        <v>119.9</v>
      </c>
      <c r="Y285" s="3">
        <v>115.3</v>
      </c>
      <c r="Z285" s="3">
        <v>119.5</v>
      </c>
      <c r="AA285" s="3">
        <v>116</v>
      </c>
      <c r="AB285" s="3">
        <v>111.5</v>
      </c>
      <c r="AC285" s="3">
        <v>116.6</v>
      </c>
      <c r="AD285" s="3">
        <v>125.4</v>
      </c>
      <c r="AE285" s="3">
        <v>111.7</v>
      </c>
      <c r="AF285" s="3">
        <v>116.3</v>
      </c>
      <c r="AG285" s="3">
        <v>575.6</v>
      </c>
      <c r="AH285" s="3">
        <v>122.4</v>
      </c>
      <c r="AI285" s="10" t="str">
        <f t="shared" si="4"/>
        <v>2015 July</v>
      </c>
    </row>
    <row r="286" spans="1:35">
      <c r="A286" t="s">
        <v>34</v>
      </c>
      <c r="B286">
        <v>2015</v>
      </c>
      <c r="C286" t="s">
        <v>40</v>
      </c>
      <c r="D286" s="3">
        <v>123.7</v>
      </c>
      <c r="E286" s="3">
        <v>132.5</v>
      </c>
      <c r="F286" s="3">
        <v>121</v>
      </c>
      <c r="G286" s="3">
        <v>128.30000000000001</v>
      </c>
      <c r="H286" s="3">
        <v>110.9</v>
      </c>
      <c r="I286" s="3">
        <v>133.1</v>
      </c>
      <c r="J286" s="3">
        <v>145.1</v>
      </c>
      <c r="K286" s="3">
        <v>139.1</v>
      </c>
      <c r="L286" s="3">
        <v>91.3</v>
      </c>
      <c r="M286" s="3">
        <v>126.1</v>
      </c>
      <c r="N286" s="3">
        <v>119.9</v>
      </c>
      <c r="O286" s="3">
        <v>131.4</v>
      </c>
      <c r="P286" s="3">
        <v>128.19999999999999</v>
      </c>
      <c r="Q286" s="3">
        <v>1630.6000000000001</v>
      </c>
      <c r="R286" s="3">
        <v>130.4</v>
      </c>
      <c r="S286" s="3">
        <v>126.7</v>
      </c>
      <c r="T286" s="3">
        <v>122.3</v>
      </c>
      <c r="U286" s="3">
        <v>126.1</v>
      </c>
      <c r="V286" s="3">
        <v>375.1</v>
      </c>
      <c r="W286">
        <v>119.9</v>
      </c>
      <c r="X286" s="3">
        <v>119.9</v>
      </c>
      <c r="Y286" s="3">
        <v>120.1</v>
      </c>
      <c r="Z286" s="3">
        <v>121.3</v>
      </c>
      <c r="AA286" s="3">
        <v>119</v>
      </c>
      <c r="AB286" s="3">
        <v>112.7</v>
      </c>
      <c r="AC286" s="3">
        <v>117.2</v>
      </c>
      <c r="AD286" s="3">
        <v>124.4</v>
      </c>
      <c r="AE286" s="3">
        <v>112.3</v>
      </c>
      <c r="AF286" s="3">
        <v>117.2</v>
      </c>
      <c r="AG286" s="3">
        <v>580.70000000000005</v>
      </c>
      <c r="AH286" s="3">
        <v>123.6</v>
      </c>
      <c r="AI286" s="10" t="str">
        <f t="shared" si="4"/>
        <v>2015 July</v>
      </c>
    </row>
    <row r="287" spans="1:35">
      <c r="A287" t="s">
        <v>30</v>
      </c>
      <c r="B287">
        <v>2015</v>
      </c>
      <c r="C287" t="s">
        <v>31</v>
      </c>
      <c r="D287" s="3">
        <v>123.1</v>
      </c>
      <c r="E287" s="3">
        <v>123.1</v>
      </c>
      <c r="F287" s="3">
        <v>122.1</v>
      </c>
      <c r="G287" s="3">
        <v>124.9</v>
      </c>
      <c r="H287" s="3">
        <v>111</v>
      </c>
      <c r="I287" s="3">
        <v>130.4</v>
      </c>
      <c r="J287" s="3">
        <v>132.30000000000001</v>
      </c>
      <c r="K287" s="3">
        <v>117.2</v>
      </c>
      <c r="L287" s="3">
        <v>100.5</v>
      </c>
      <c r="M287" s="3">
        <v>117.2</v>
      </c>
      <c r="N287" s="3">
        <v>117.9</v>
      </c>
      <c r="O287" s="3">
        <v>125.6</v>
      </c>
      <c r="P287" s="3">
        <v>122.8</v>
      </c>
      <c r="Q287" s="3">
        <v>1568.1</v>
      </c>
      <c r="R287" s="3">
        <v>122.7</v>
      </c>
      <c r="S287" s="3">
        <v>124.4</v>
      </c>
      <c r="T287" s="3">
        <v>121.6</v>
      </c>
      <c r="U287" s="3">
        <v>124</v>
      </c>
      <c r="V287" s="3">
        <v>370</v>
      </c>
      <c r="W287" t="s">
        <v>32</v>
      </c>
      <c r="X287" s="3">
        <v>120.1</v>
      </c>
      <c r="Y287" s="3">
        <v>118.4</v>
      </c>
      <c r="Z287" s="3">
        <v>118.9</v>
      </c>
      <c r="AA287" s="3">
        <v>116.6</v>
      </c>
      <c r="AB287" s="3">
        <v>111</v>
      </c>
      <c r="AC287" s="3">
        <v>114</v>
      </c>
      <c r="AD287" s="3">
        <v>118.2</v>
      </c>
      <c r="AE287" s="3">
        <v>110.2</v>
      </c>
      <c r="AF287" s="3">
        <v>114.5</v>
      </c>
      <c r="AG287" s="3">
        <v>568.59999999999991</v>
      </c>
      <c r="AH287" s="3">
        <v>120.3</v>
      </c>
      <c r="AI287" s="10" t="str">
        <f t="shared" si="4"/>
        <v>2015 January</v>
      </c>
    </row>
    <row r="288" spans="1:35">
      <c r="A288" t="s">
        <v>33</v>
      </c>
      <c r="B288">
        <v>2015</v>
      </c>
      <c r="C288" t="s">
        <v>31</v>
      </c>
      <c r="D288" s="3">
        <v>124</v>
      </c>
      <c r="E288" s="3">
        <v>125.5</v>
      </c>
      <c r="F288" s="3">
        <v>126.6</v>
      </c>
      <c r="G288" s="3">
        <v>125.2</v>
      </c>
      <c r="H288" s="3">
        <v>104.3</v>
      </c>
      <c r="I288" s="3">
        <v>121.3</v>
      </c>
      <c r="J288" s="3">
        <v>134.4</v>
      </c>
      <c r="K288" s="3">
        <v>122.9</v>
      </c>
      <c r="L288" s="3">
        <v>96.1</v>
      </c>
      <c r="M288" s="3">
        <v>126.6</v>
      </c>
      <c r="N288" s="3">
        <v>116.5</v>
      </c>
      <c r="O288" s="3">
        <v>128</v>
      </c>
      <c r="P288" s="3">
        <v>123.5</v>
      </c>
      <c r="Q288" s="3">
        <v>1574.8999999999999</v>
      </c>
      <c r="R288" s="3">
        <v>127.4</v>
      </c>
      <c r="S288" s="3">
        <v>121</v>
      </c>
      <c r="T288" s="3">
        <v>116.1</v>
      </c>
      <c r="U288" s="3">
        <v>120.2</v>
      </c>
      <c r="V288" s="3">
        <v>357.3</v>
      </c>
      <c r="W288">
        <v>117.3</v>
      </c>
      <c r="X288" s="3">
        <v>117.3</v>
      </c>
      <c r="Y288" s="3">
        <v>113.4</v>
      </c>
      <c r="Z288" s="3">
        <v>117.2</v>
      </c>
      <c r="AA288" s="3">
        <v>113.7</v>
      </c>
      <c r="AB288" s="3">
        <v>107.9</v>
      </c>
      <c r="AC288" s="3">
        <v>114.6</v>
      </c>
      <c r="AD288" s="3">
        <v>120.8</v>
      </c>
      <c r="AE288" s="3">
        <v>111.4</v>
      </c>
      <c r="AF288" s="3">
        <v>113.4</v>
      </c>
      <c r="AG288" s="3">
        <v>564.5</v>
      </c>
      <c r="AH288" s="3">
        <v>118.5</v>
      </c>
      <c r="AI288" s="10" t="str">
        <f t="shared" si="4"/>
        <v>2015 January</v>
      </c>
    </row>
    <row r="289" spans="1:35">
      <c r="A289" t="s">
        <v>34</v>
      </c>
      <c r="B289">
        <v>2015</v>
      </c>
      <c r="C289" t="s">
        <v>31</v>
      </c>
      <c r="D289" s="3">
        <v>123.4</v>
      </c>
      <c r="E289" s="3">
        <v>123.9</v>
      </c>
      <c r="F289" s="3">
        <v>123.8</v>
      </c>
      <c r="G289" s="3">
        <v>125</v>
      </c>
      <c r="H289" s="3">
        <v>108.5</v>
      </c>
      <c r="I289" s="3">
        <v>126.2</v>
      </c>
      <c r="J289" s="3">
        <v>133</v>
      </c>
      <c r="K289" s="3">
        <v>119.1</v>
      </c>
      <c r="L289" s="3">
        <v>99</v>
      </c>
      <c r="M289" s="3">
        <v>120.3</v>
      </c>
      <c r="N289" s="3">
        <v>117.3</v>
      </c>
      <c r="O289" s="3">
        <v>126.7</v>
      </c>
      <c r="P289" s="3">
        <v>123.1</v>
      </c>
      <c r="Q289" s="3">
        <v>1569.3</v>
      </c>
      <c r="R289" s="3">
        <v>124</v>
      </c>
      <c r="S289" s="3">
        <v>123.1</v>
      </c>
      <c r="T289" s="3">
        <v>119.3</v>
      </c>
      <c r="U289" s="3">
        <v>122.5</v>
      </c>
      <c r="V289" s="3">
        <v>364.9</v>
      </c>
      <c r="W289">
        <v>117.3</v>
      </c>
      <c r="X289" s="3">
        <v>117.3</v>
      </c>
      <c r="Y289" s="3">
        <v>116.5</v>
      </c>
      <c r="Z289" s="3">
        <v>118.1</v>
      </c>
      <c r="AA289" s="3">
        <v>115.5</v>
      </c>
      <c r="AB289" s="3">
        <v>109.4</v>
      </c>
      <c r="AC289" s="3">
        <v>114.3</v>
      </c>
      <c r="AD289" s="3">
        <v>119.7</v>
      </c>
      <c r="AE289" s="3">
        <v>110.7</v>
      </c>
      <c r="AF289" s="3">
        <v>114</v>
      </c>
      <c r="AG289" s="3">
        <v>566.5</v>
      </c>
      <c r="AH289" s="3">
        <v>119.5</v>
      </c>
      <c r="AI289" s="10" t="str">
        <f t="shared" si="4"/>
        <v>2015 January</v>
      </c>
    </row>
    <row r="290" spans="1:35">
      <c r="A290" t="s">
        <v>30</v>
      </c>
      <c r="B290">
        <v>2015</v>
      </c>
      <c r="C290" t="s">
        <v>35</v>
      </c>
      <c r="D290" s="3">
        <v>123.4</v>
      </c>
      <c r="E290" s="3">
        <v>124.4</v>
      </c>
      <c r="F290" s="3">
        <v>122.1</v>
      </c>
      <c r="G290" s="3">
        <v>125.8</v>
      </c>
      <c r="H290" s="3">
        <v>111.5</v>
      </c>
      <c r="I290" s="3">
        <v>129.4</v>
      </c>
      <c r="J290" s="3">
        <v>128.19999999999999</v>
      </c>
      <c r="K290" s="3">
        <v>118.8</v>
      </c>
      <c r="L290" s="3">
        <v>100</v>
      </c>
      <c r="M290" s="3">
        <v>118.6</v>
      </c>
      <c r="N290" s="3">
        <v>118.8</v>
      </c>
      <c r="O290" s="3">
        <v>126.8</v>
      </c>
      <c r="P290" s="3">
        <v>122.8</v>
      </c>
      <c r="Q290" s="3">
        <v>1570.5999999999997</v>
      </c>
      <c r="R290" s="3">
        <v>124.2</v>
      </c>
      <c r="S290" s="3">
        <v>125.4</v>
      </c>
      <c r="T290" s="3">
        <v>122.7</v>
      </c>
      <c r="U290" s="3">
        <v>125</v>
      </c>
      <c r="V290" s="3">
        <v>373.1</v>
      </c>
      <c r="W290" t="s">
        <v>32</v>
      </c>
      <c r="X290" s="3">
        <v>120.1</v>
      </c>
      <c r="Y290" s="3">
        <v>120</v>
      </c>
      <c r="Z290" s="3">
        <v>119.6</v>
      </c>
      <c r="AA290" s="3">
        <v>117.7</v>
      </c>
      <c r="AB290" s="3">
        <v>110.9</v>
      </c>
      <c r="AC290" s="3">
        <v>114.8</v>
      </c>
      <c r="AD290" s="3">
        <v>118.7</v>
      </c>
      <c r="AE290" s="3">
        <v>110.8</v>
      </c>
      <c r="AF290" s="3">
        <v>115</v>
      </c>
      <c r="AG290" s="3">
        <v>571.1</v>
      </c>
      <c r="AH290" s="3">
        <v>120.6</v>
      </c>
      <c r="AI290" s="10" t="str">
        <f t="shared" si="4"/>
        <v>2015 February</v>
      </c>
    </row>
    <row r="291" spans="1:35">
      <c r="A291" t="s">
        <v>33</v>
      </c>
      <c r="B291">
        <v>2015</v>
      </c>
      <c r="C291" t="s">
        <v>35</v>
      </c>
      <c r="D291" s="3">
        <v>124.3</v>
      </c>
      <c r="E291" s="3">
        <v>126.5</v>
      </c>
      <c r="F291" s="3">
        <v>119.5</v>
      </c>
      <c r="G291" s="3">
        <v>125.6</v>
      </c>
      <c r="H291" s="3">
        <v>104.9</v>
      </c>
      <c r="I291" s="3">
        <v>121.6</v>
      </c>
      <c r="J291" s="3">
        <v>131.80000000000001</v>
      </c>
      <c r="K291" s="3">
        <v>125.1</v>
      </c>
      <c r="L291" s="3">
        <v>95</v>
      </c>
      <c r="M291" s="3">
        <v>127.7</v>
      </c>
      <c r="N291" s="3">
        <v>116.8</v>
      </c>
      <c r="O291" s="3">
        <v>128.6</v>
      </c>
      <c r="P291" s="3">
        <v>123.7</v>
      </c>
      <c r="Q291" s="3">
        <v>1571.1000000000001</v>
      </c>
      <c r="R291" s="3">
        <v>128.1</v>
      </c>
      <c r="S291" s="3">
        <v>121.3</v>
      </c>
      <c r="T291" s="3">
        <v>116.5</v>
      </c>
      <c r="U291" s="3">
        <v>120.6</v>
      </c>
      <c r="V291" s="3">
        <v>358.4</v>
      </c>
      <c r="W291">
        <v>118.1</v>
      </c>
      <c r="X291" s="3">
        <v>118.1</v>
      </c>
      <c r="Y291" s="3">
        <v>114</v>
      </c>
      <c r="Z291" s="3">
        <v>117.7</v>
      </c>
      <c r="AA291" s="3">
        <v>114.1</v>
      </c>
      <c r="AB291" s="3">
        <v>106.8</v>
      </c>
      <c r="AC291" s="3">
        <v>114.9</v>
      </c>
      <c r="AD291" s="3">
        <v>120.4</v>
      </c>
      <c r="AE291" s="3">
        <v>111.7</v>
      </c>
      <c r="AF291" s="3">
        <v>113.2</v>
      </c>
      <c r="AG291" s="3">
        <v>564.29999999999995</v>
      </c>
      <c r="AH291" s="3">
        <v>118.7</v>
      </c>
      <c r="AI291" s="10" t="str">
        <f t="shared" si="4"/>
        <v>2015 February</v>
      </c>
    </row>
    <row r="292" spans="1:35">
      <c r="A292" t="s">
        <v>34</v>
      </c>
      <c r="B292">
        <v>2015</v>
      </c>
      <c r="C292" t="s">
        <v>35</v>
      </c>
      <c r="D292" s="3">
        <v>123.7</v>
      </c>
      <c r="E292" s="3">
        <v>125.1</v>
      </c>
      <c r="F292" s="3">
        <v>121.1</v>
      </c>
      <c r="G292" s="3">
        <v>125.7</v>
      </c>
      <c r="H292" s="3">
        <v>109.1</v>
      </c>
      <c r="I292" s="3">
        <v>125.8</v>
      </c>
      <c r="J292" s="3">
        <v>129.4</v>
      </c>
      <c r="K292" s="3">
        <v>120.9</v>
      </c>
      <c r="L292" s="3">
        <v>98.3</v>
      </c>
      <c r="M292" s="3">
        <v>121.6</v>
      </c>
      <c r="N292" s="3">
        <v>118</v>
      </c>
      <c r="O292" s="3">
        <v>127.6</v>
      </c>
      <c r="P292" s="3">
        <v>123.1</v>
      </c>
      <c r="Q292" s="3">
        <v>1569.3999999999996</v>
      </c>
      <c r="R292" s="3">
        <v>125.2</v>
      </c>
      <c r="S292" s="3">
        <v>123.8</v>
      </c>
      <c r="T292" s="3">
        <v>120.1</v>
      </c>
      <c r="U292" s="3">
        <v>123.3</v>
      </c>
      <c r="V292" s="3">
        <v>367.2</v>
      </c>
      <c r="W292">
        <v>118.1</v>
      </c>
      <c r="X292" s="3">
        <v>118.1</v>
      </c>
      <c r="Y292" s="3">
        <v>117.7</v>
      </c>
      <c r="Z292" s="3">
        <v>118.7</v>
      </c>
      <c r="AA292" s="3">
        <v>116.3</v>
      </c>
      <c r="AB292" s="3">
        <v>108.7</v>
      </c>
      <c r="AC292" s="3">
        <v>114.9</v>
      </c>
      <c r="AD292" s="3">
        <v>119.7</v>
      </c>
      <c r="AE292" s="3">
        <v>111.2</v>
      </c>
      <c r="AF292" s="3">
        <v>114.1</v>
      </c>
      <c r="AG292" s="3">
        <v>567.6</v>
      </c>
      <c r="AH292" s="3">
        <v>119.7</v>
      </c>
      <c r="AI292" s="10" t="str">
        <f t="shared" si="4"/>
        <v>2015 February</v>
      </c>
    </row>
    <row r="293" spans="1:35">
      <c r="A293" t="s">
        <v>30</v>
      </c>
      <c r="B293">
        <v>2015</v>
      </c>
      <c r="C293" t="s">
        <v>46</v>
      </c>
      <c r="D293" s="3">
        <v>126.3</v>
      </c>
      <c r="E293" s="3">
        <v>131.30000000000001</v>
      </c>
      <c r="F293" s="3">
        <v>123.3</v>
      </c>
      <c r="G293" s="3">
        <v>129.80000000000001</v>
      </c>
      <c r="H293" s="3">
        <v>118.3</v>
      </c>
      <c r="I293" s="3">
        <v>131.6</v>
      </c>
      <c r="J293" s="3">
        <v>145.5</v>
      </c>
      <c r="K293" s="3">
        <v>162.1</v>
      </c>
      <c r="L293" s="3">
        <v>95.4</v>
      </c>
      <c r="M293" s="3">
        <v>128.9</v>
      </c>
      <c r="N293" s="3">
        <v>123.3</v>
      </c>
      <c r="O293" s="3">
        <v>135.1</v>
      </c>
      <c r="P293" s="3">
        <v>131.4</v>
      </c>
      <c r="Q293" s="3">
        <v>1682.3000000000002</v>
      </c>
      <c r="R293" s="3">
        <v>133.1</v>
      </c>
      <c r="S293" s="3">
        <v>132.5</v>
      </c>
      <c r="T293" s="3">
        <v>128.5</v>
      </c>
      <c r="U293" s="3">
        <v>131.9</v>
      </c>
      <c r="V293" s="3">
        <v>392.9</v>
      </c>
      <c r="W293" t="s">
        <v>32</v>
      </c>
      <c r="X293" s="3">
        <v>120.1</v>
      </c>
      <c r="Y293" s="3">
        <v>125.7</v>
      </c>
      <c r="Z293" s="3">
        <v>126</v>
      </c>
      <c r="AA293" s="3">
        <v>123.1</v>
      </c>
      <c r="AB293" s="3">
        <v>114</v>
      </c>
      <c r="AC293" s="3">
        <v>121.6</v>
      </c>
      <c r="AD293" s="3">
        <v>125.6</v>
      </c>
      <c r="AE293" s="3">
        <v>114.1</v>
      </c>
      <c r="AF293" s="3">
        <v>119.8</v>
      </c>
      <c r="AG293" s="3">
        <v>595.5</v>
      </c>
      <c r="AH293" s="3">
        <v>127.9</v>
      </c>
      <c r="AI293" s="10" t="str">
        <f t="shared" si="4"/>
        <v>2015 December</v>
      </c>
    </row>
    <row r="294" spans="1:35">
      <c r="A294" t="s">
        <v>33</v>
      </c>
      <c r="B294">
        <v>2015</v>
      </c>
      <c r="C294" t="s">
        <v>46</v>
      </c>
      <c r="D294" s="3">
        <v>124.3</v>
      </c>
      <c r="E294" s="3">
        <v>131.69999999999999</v>
      </c>
      <c r="F294" s="3">
        <v>127.1</v>
      </c>
      <c r="G294" s="3">
        <v>128.6</v>
      </c>
      <c r="H294" s="3">
        <v>110</v>
      </c>
      <c r="I294" s="3">
        <v>120.8</v>
      </c>
      <c r="J294" s="3">
        <v>149</v>
      </c>
      <c r="K294" s="3">
        <v>190.1</v>
      </c>
      <c r="L294" s="3">
        <v>92.7</v>
      </c>
      <c r="M294" s="3">
        <v>138.6</v>
      </c>
      <c r="N294" s="3">
        <v>120.2</v>
      </c>
      <c r="O294" s="3">
        <v>134.19999999999999</v>
      </c>
      <c r="P294" s="3">
        <v>131.5</v>
      </c>
      <c r="Q294" s="3">
        <v>1698.8</v>
      </c>
      <c r="R294" s="3">
        <v>138.19999999999999</v>
      </c>
      <c r="S294" s="3">
        <v>125.4</v>
      </c>
      <c r="T294" s="3">
        <v>119.5</v>
      </c>
      <c r="U294" s="3">
        <v>124.5</v>
      </c>
      <c r="V294" s="3">
        <v>369.4</v>
      </c>
      <c r="W294">
        <v>122.4</v>
      </c>
      <c r="X294" s="3">
        <v>122.4</v>
      </c>
      <c r="Y294" s="3">
        <v>116</v>
      </c>
      <c r="Z294" s="3">
        <v>121</v>
      </c>
      <c r="AA294" s="3">
        <v>118.6</v>
      </c>
      <c r="AB294" s="3">
        <v>109.3</v>
      </c>
      <c r="AC294" s="3">
        <v>118.1</v>
      </c>
      <c r="AD294" s="3">
        <v>126.6</v>
      </c>
      <c r="AE294" s="3">
        <v>113.2</v>
      </c>
      <c r="AF294" s="3">
        <v>116.7</v>
      </c>
      <c r="AG294" s="3">
        <v>578.29999999999995</v>
      </c>
      <c r="AH294" s="3">
        <v>124</v>
      </c>
      <c r="AI294" s="10" t="str">
        <f t="shared" si="4"/>
        <v>2015 December</v>
      </c>
    </row>
    <row r="295" spans="1:35">
      <c r="A295" t="s">
        <v>34</v>
      </c>
      <c r="B295">
        <v>2015</v>
      </c>
      <c r="C295" t="s">
        <v>46</v>
      </c>
      <c r="D295" s="3">
        <v>125.7</v>
      </c>
      <c r="E295" s="3">
        <v>131.4</v>
      </c>
      <c r="F295" s="3">
        <v>124.8</v>
      </c>
      <c r="G295" s="3">
        <v>129.4</v>
      </c>
      <c r="H295" s="3">
        <v>115.3</v>
      </c>
      <c r="I295" s="3">
        <v>126.6</v>
      </c>
      <c r="J295" s="3">
        <v>146.69999999999999</v>
      </c>
      <c r="K295" s="3">
        <v>171.5</v>
      </c>
      <c r="L295" s="3">
        <v>94.5</v>
      </c>
      <c r="M295" s="3">
        <v>132.1</v>
      </c>
      <c r="N295" s="3">
        <v>122</v>
      </c>
      <c r="O295" s="3">
        <v>134.69999999999999</v>
      </c>
      <c r="P295" s="3">
        <v>131.4</v>
      </c>
      <c r="Q295" s="3">
        <v>1686.1000000000001</v>
      </c>
      <c r="R295" s="3">
        <v>134.5</v>
      </c>
      <c r="S295" s="3">
        <v>129.69999999999999</v>
      </c>
      <c r="T295" s="3">
        <v>124.8</v>
      </c>
      <c r="U295" s="3">
        <v>129</v>
      </c>
      <c r="V295" s="3">
        <v>383.5</v>
      </c>
      <c r="W295">
        <v>122.4</v>
      </c>
      <c r="X295" s="3">
        <v>122.4</v>
      </c>
      <c r="Y295" s="3">
        <v>122</v>
      </c>
      <c r="Z295" s="3">
        <v>123.6</v>
      </c>
      <c r="AA295" s="3">
        <v>121.4</v>
      </c>
      <c r="AB295" s="3">
        <v>111.5</v>
      </c>
      <c r="AC295" s="3">
        <v>119.6</v>
      </c>
      <c r="AD295" s="3">
        <v>126.2</v>
      </c>
      <c r="AE295" s="3">
        <v>113.7</v>
      </c>
      <c r="AF295" s="3">
        <v>118.3</v>
      </c>
      <c r="AG295" s="3">
        <v>586.69999999999993</v>
      </c>
      <c r="AH295" s="3">
        <v>126.1</v>
      </c>
      <c r="AI295" s="10" t="str">
        <f t="shared" si="4"/>
        <v>2015 December</v>
      </c>
    </row>
    <row r="296" spans="1:35">
      <c r="A296" t="s">
        <v>30</v>
      </c>
      <c r="B296">
        <v>2015</v>
      </c>
      <c r="C296" t="s">
        <v>41</v>
      </c>
      <c r="D296" s="3">
        <v>124.7</v>
      </c>
      <c r="E296" s="3">
        <v>131.30000000000001</v>
      </c>
      <c r="F296" s="3">
        <v>121.3</v>
      </c>
      <c r="G296" s="3">
        <v>128.80000000000001</v>
      </c>
      <c r="H296" s="3">
        <v>114</v>
      </c>
      <c r="I296" s="3">
        <v>134.19999999999999</v>
      </c>
      <c r="J296" s="3">
        <v>153.6</v>
      </c>
      <c r="K296" s="3">
        <v>137.9</v>
      </c>
      <c r="L296" s="3">
        <v>93.1</v>
      </c>
      <c r="M296" s="3">
        <v>123.9</v>
      </c>
      <c r="N296" s="3">
        <v>121.5</v>
      </c>
      <c r="O296" s="3">
        <v>132.5</v>
      </c>
      <c r="P296" s="3">
        <v>129.80000000000001</v>
      </c>
      <c r="Q296" s="3">
        <v>1646.6</v>
      </c>
      <c r="R296" s="3">
        <v>130.1</v>
      </c>
      <c r="S296" s="3">
        <v>129.5</v>
      </c>
      <c r="T296" s="3">
        <v>126.3</v>
      </c>
      <c r="U296" s="3">
        <v>129</v>
      </c>
      <c r="V296" s="3">
        <v>384.8</v>
      </c>
      <c r="W296" t="s">
        <v>32</v>
      </c>
      <c r="X296" s="3">
        <v>120.1</v>
      </c>
      <c r="Y296" s="3">
        <v>123.8</v>
      </c>
      <c r="Z296" s="3">
        <v>123.7</v>
      </c>
      <c r="AA296" s="3">
        <v>121.1</v>
      </c>
      <c r="AB296" s="3">
        <v>113.6</v>
      </c>
      <c r="AC296" s="3">
        <v>118.5</v>
      </c>
      <c r="AD296" s="3">
        <v>123.6</v>
      </c>
      <c r="AE296" s="3">
        <v>112.5</v>
      </c>
      <c r="AF296" s="3">
        <v>118.2</v>
      </c>
      <c r="AG296" s="3">
        <v>586.5</v>
      </c>
      <c r="AH296" s="3">
        <v>126.1</v>
      </c>
      <c r="AI296" s="10" t="str">
        <f t="shared" si="4"/>
        <v>2015 August</v>
      </c>
    </row>
    <row r="297" spans="1:35">
      <c r="A297" t="s">
        <v>33</v>
      </c>
      <c r="B297">
        <v>2015</v>
      </c>
      <c r="C297" t="s">
        <v>41</v>
      </c>
      <c r="D297" s="3">
        <v>123.1</v>
      </c>
      <c r="E297" s="3">
        <v>131.69999999999999</v>
      </c>
      <c r="F297" s="3">
        <v>118.1</v>
      </c>
      <c r="G297" s="3">
        <v>128</v>
      </c>
      <c r="H297" s="3">
        <v>106.8</v>
      </c>
      <c r="I297" s="3">
        <v>130.1</v>
      </c>
      <c r="J297" s="3">
        <v>165.5</v>
      </c>
      <c r="K297" s="3">
        <v>156</v>
      </c>
      <c r="L297" s="3">
        <v>85.3</v>
      </c>
      <c r="M297" s="3">
        <v>132.69999999999999</v>
      </c>
      <c r="N297" s="3">
        <v>118.8</v>
      </c>
      <c r="O297" s="3">
        <v>131.69999999999999</v>
      </c>
      <c r="P297" s="3">
        <v>131.1</v>
      </c>
      <c r="Q297" s="3">
        <v>1658.8999999999999</v>
      </c>
      <c r="R297" s="3">
        <v>134.19999999999999</v>
      </c>
      <c r="S297" s="3">
        <v>123.7</v>
      </c>
      <c r="T297" s="3">
        <v>118.2</v>
      </c>
      <c r="U297" s="3">
        <v>122.9</v>
      </c>
      <c r="V297" s="3">
        <v>364.8</v>
      </c>
      <c r="W297">
        <v>120.9</v>
      </c>
      <c r="X297" s="3">
        <v>120.9</v>
      </c>
      <c r="Y297" s="3">
        <v>115.3</v>
      </c>
      <c r="Z297" s="3">
        <v>120</v>
      </c>
      <c r="AA297" s="3">
        <v>116.6</v>
      </c>
      <c r="AB297" s="3">
        <v>109.9</v>
      </c>
      <c r="AC297" s="3">
        <v>117.2</v>
      </c>
      <c r="AD297" s="3">
        <v>126.2</v>
      </c>
      <c r="AE297" s="3">
        <v>112</v>
      </c>
      <c r="AF297" s="3">
        <v>116.2</v>
      </c>
      <c r="AG297" s="3">
        <v>575.30000000000007</v>
      </c>
      <c r="AH297" s="3">
        <v>123.2</v>
      </c>
      <c r="AI297" s="10" t="str">
        <f t="shared" si="4"/>
        <v>2015 August</v>
      </c>
    </row>
    <row r="298" spans="1:35">
      <c r="A298" t="s">
        <v>34</v>
      </c>
      <c r="B298">
        <v>2015</v>
      </c>
      <c r="C298" t="s">
        <v>41</v>
      </c>
      <c r="D298" s="3">
        <v>124.2</v>
      </c>
      <c r="E298" s="3">
        <v>131.4</v>
      </c>
      <c r="F298" s="3">
        <v>120.1</v>
      </c>
      <c r="G298" s="3">
        <v>128.5</v>
      </c>
      <c r="H298" s="3">
        <v>111.4</v>
      </c>
      <c r="I298" s="3">
        <v>132.30000000000001</v>
      </c>
      <c r="J298" s="3">
        <v>157.6</v>
      </c>
      <c r="K298" s="3">
        <v>144</v>
      </c>
      <c r="L298" s="3">
        <v>90.5</v>
      </c>
      <c r="M298" s="3">
        <v>126.8</v>
      </c>
      <c r="N298" s="3">
        <v>120.4</v>
      </c>
      <c r="O298" s="3">
        <v>132.1</v>
      </c>
      <c r="P298" s="3">
        <v>130.30000000000001</v>
      </c>
      <c r="Q298" s="3">
        <v>1649.6</v>
      </c>
      <c r="R298" s="3">
        <v>131.19999999999999</v>
      </c>
      <c r="S298" s="3">
        <v>127.2</v>
      </c>
      <c r="T298" s="3">
        <v>122.9</v>
      </c>
      <c r="U298" s="3">
        <v>126.6</v>
      </c>
      <c r="V298" s="3">
        <v>376.70000000000005</v>
      </c>
      <c r="W298">
        <v>120.9</v>
      </c>
      <c r="X298" s="3">
        <v>120.9</v>
      </c>
      <c r="Y298" s="3">
        <v>120.6</v>
      </c>
      <c r="Z298" s="3">
        <v>122</v>
      </c>
      <c r="AA298" s="3">
        <v>119.4</v>
      </c>
      <c r="AB298" s="3">
        <v>111.7</v>
      </c>
      <c r="AC298" s="3">
        <v>117.8</v>
      </c>
      <c r="AD298" s="3">
        <v>125.1</v>
      </c>
      <c r="AE298" s="3">
        <v>112.3</v>
      </c>
      <c r="AF298" s="3">
        <v>117.2</v>
      </c>
      <c r="AG298" s="3">
        <v>581</v>
      </c>
      <c r="AH298" s="3">
        <v>124.8</v>
      </c>
      <c r="AI298" s="10" t="str">
        <f t="shared" si="4"/>
        <v>2015 August</v>
      </c>
    </row>
    <row r="299" spans="1:35">
      <c r="A299" t="s">
        <v>30</v>
      </c>
      <c r="B299">
        <v>2015</v>
      </c>
      <c r="C299" t="s">
        <v>37</v>
      </c>
      <c r="D299" s="3">
        <v>123.3</v>
      </c>
      <c r="E299" s="3">
        <v>125.5</v>
      </c>
      <c r="F299" s="3">
        <v>117.2</v>
      </c>
      <c r="G299" s="3">
        <v>126.8</v>
      </c>
      <c r="H299" s="3">
        <v>111.9</v>
      </c>
      <c r="I299" s="3">
        <v>134.19999999999999</v>
      </c>
      <c r="J299" s="3">
        <v>127.5</v>
      </c>
      <c r="K299" s="3">
        <v>121.5</v>
      </c>
      <c r="L299" s="3">
        <v>97.8</v>
      </c>
      <c r="M299" s="3">
        <v>119.8</v>
      </c>
      <c r="N299" s="3">
        <v>119.4</v>
      </c>
      <c r="O299" s="3">
        <v>128.69999999999999</v>
      </c>
      <c r="P299" s="3">
        <v>123.6</v>
      </c>
      <c r="Q299" s="3">
        <v>1577.2</v>
      </c>
      <c r="R299" s="3">
        <v>125.7</v>
      </c>
      <c r="S299" s="3">
        <v>126.4</v>
      </c>
      <c r="T299" s="3">
        <v>123.3</v>
      </c>
      <c r="U299" s="3">
        <v>126</v>
      </c>
      <c r="V299" s="3">
        <v>375.7</v>
      </c>
      <c r="W299" t="s">
        <v>32</v>
      </c>
      <c r="X299" s="3">
        <v>120.1</v>
      </c>
      <c r="Y299" s="3">
        <v>121.2</v>
      </c>
      <c r="Z299" s="3">
        <v>120.9</v>
      </c>
      <c r="AA299" s="3">
        <v>118.6</v>
      </c>
      <c r="AB299" s="3">
        <v>111.9</v>
      </c>
      <c r="AC299" s="3">
        <v>116.2</v>
      </c>
      <c r="AD299" s="3">
        <v>119.9</v>
      </c>
      <c r="AE299" s="3">
        <v>111.6</v>
      </c>
      <c r="AF299" s="3">
        <v>116</v>
      </c>
      <c r="AG299" s="3">
        <v>576.6</v>
      </c>
      <c r="AH299" s="3">
        <v>121.5</v>
      </c>
      <c r="AI299" s="10" t="str">
        <f t="shared" si="4"/>
        <v>2015 April</v>
      </c>
    </row>
    <row r="300" spans="1:35">
      <c r="A300" t="s">
        <v>33</v>
      </c>
      <c r="B300">
        <v>2015</v>
      </c>
      <c r="C300" t="s">
        <v>37</v>
      </c>
      <c r="D300" s="3">
        <v>123.8</v>
      </c>
      <c r="E300" s="3">
        <v>128.19999999999999</v>
      </c>
      <c r="F300" s="3">
        <v>110</v>
      </c>
      <c r="G300" s="3">
        <v>126.3</v>
      </c>
      <c r="H300" s="3">
        <v>104.5</v>
      </c>
      <c r="I300" s="3">
        <v>130.6</v>
      </c>
      <c r="J300" s="3">
        <v>130.80000000000001</v>
      </c>
      <c r="K300" s="3">
        <v>131.30000000000001</v>
      </c>
      <c r="L300" s="3">
        <v>91.6</v>
      </c>
      <c r="M300" s="3">
        <v>127.7</v>
      </c>
      <c r="N300" s="3">
        <v>117.2</v>
      </c>
      <c r="O300" s="3">
        <v>129.5</v>
      </c>
      <c r="P300" s="3">
        <v>124.6</v>
      </c>
      <c r="Q300" s="3">
        <v>1576.1</v>
      </c>
      <c r="R300" s="3">
        <v>130.1</v>
      </c>
      <c r="S300" s="3">
        <v>122.1</v>
      </c>
      <c r="T300" s="3">
        <v>117.2</v>
      </c>
      <c r="U300" s="3">
        <v>121.3</v>
      </c>
      <c r="V300" s="3">
        <v>360.6</v>
      </c>
      <c r="W300">
        <v>119.2</v>
      </c>
      <c r="X300" s="3">
        <v>119.2</v>
      </c>
      <c r="Y300" s="3">
        <v>114.7</v>
      </c>
      <c r="Z300" s="3">
        <v>118.4</v>
      </c>
      <c r="AA300" s="3">
        <v>114.6</v>
      </c>
      <c r="AB300" s="3">
        <v>108.4</v>
      </c>
      <c r="AC300" s="3">
        <v>115.6</v>
      </c>
      <c r="AD300" s="3">
        <v>121.7</v>
      </c>
      <c r="AE300" s="3">
        <v>111.8</v>
      </c>
      <c r="AF300" s="3">
        <v>114.2</v>
      </c>
      <c r="AG300" s="3">
        <v>568.4</v>
      </c>
      <c r="AH300" s="3">
        <v>119.7</v>
      </c>
      <c r="AI300" s="10" t="str">
        <f t="shared" si="4"/>
        <v>2015 April</v>
      </c>
    </row>
    <row r="301" spans="1:35">
      <c r="A301" t="s">
        <v>34</v>
      </c>
      <c r="B301">
        <v>2015</v>
      </c>
      <c r="C301" t="s">
        <v>37</v>
      </c>
      <c r="D301" s="3">
        <v>123.5</v>
      </c>
      <c r="E301" s="3">
        <v>126.4</v>
      </c>
      <c r="F301" s="3">
        <v>114.4</v>
      </c>
      <c r="G301" s="3">
        <v>126.6</v>
      </c>
      <c r="H301" s="3">
        <v>109.2</v>
      </c>
      <c r="I301" s="3">
        <v>132.5</v>
      </c>
      <c r="J301" s="3">
        <v>128.6</v>
      </c>
      <c r="K301" s="3">
        <v>124.8</v>
      </c>
      <c r="L301" s="3">
        <v>95.7</v>
      </c>
      <c r="M301" s="3">
        <v>122.4</v>
      </c>
      <c r="N301" s="3">
        <v>118.5</v>
      </c>
      <c r="O301" s="3">
        <v>129.1</v>
      </c>
      <c r="P301" s="3">
        <v>124</v>
      </c>
      <c r="Q301" s="3">
        <v>1575.7</v>
      </c>
      <c r="R301" s="3">
        <v>126.9</v>
      </c>
      <c r="S301" s="3">
        <v>124.7</v>
      </c>
      <c r="T301" s="3">
        <v>120.8</v>
      </c>
      <c r="U301" s="3">
        <v>124.1</v>
      </c>
      <c r="V301" s="3">
        <v>369.6</v>
      </c>
      <c r="W301">
        <v>119.2</v>
      </c>
      <c r="X301" s="3">
        <v>119.2</v>
      </c>
      <c r="Y301" s="3">
        <v>118.7</v>
      </c>
      <c r="Z301" s="3">
        <v>119.7</v>
      </c>
      <c r="AA301" s="3">
        <v>117.1</v>
      </c>
      <c r="AB301" s="3">
        <v>110.1</v>
      </c>
      <c r="AC301" s="3">
        <v>115.9</v>
      </c>
      <c r="AD301" s="3">
        <v>121</v>
      </c>
      <c r="AE301" s="3">
        <v>111.7</v>
      </c>
      <c r="AF301" s="3">
        <v>115.1</v>
      </c>
      <c r="AG301" s="3">
        <v>572.5</v>
      </c>
      <c r="AH301" s="3">
        <v>120.7</v>
      </c>
      <c r="AI301" s="10" t="str">
        <f t="shared" si="4"/>
        <v>2015 April</v>
      </c>
    </row>
    <row r="302" spans="1:35">
      <c r="A302" t="s">
        <v>30</v>
      </c>
      <c r="B302">
        <v>2014</v>
      </c>
      <c r="C302" t="s">
        <v>42</v>
      </c>
      <c r="D302" s="3">
        <v>122.3</v>
      </c>
      <c r="E302" s="3">
        <v>122.4</v>
      </c>
      <c r="F302" s="3">
        <v>117.8</v>
      </c>
      <c r="G302" s="3">
        <v>122.7</v>
      </c>
      <c r="H302" s="3">
        <v>110.4</v>
      </c>
      <c r="I302" s="3">
        <v>129.80000000000001</v>
      </c>
      <c r="J302" s="3">
        <v>158.80000000000001</v>
      </c>
      <c r="K302" s="3">
        <v>115</v>
      </c>
      <c r="L302" s="3">
        <v>104.7</v>
      </c>
      <c r="M302" s="3">
        <v>114.9</v>
      </c>
      <c r="N302" s="3">
        <v>116.5</v>
      </c>
      <c r="O302" s="3">
        <v>122.6</v>
      </c>
      <c r="P302" s="3">
        <v>125.3</v>
      </c>
      <c r="Q302" s="3">
        <v>1583.2</v>
      </c>
      <c r="R302" s="3">
        <v>119.5</v>
      </c>
      <c r="S302" s="3">
        <v>121.7</v>
      </c>
      <c r="T302" s="3">
        <v>119.2</v>
      </c>
      <c r="U302" s="3">
        <v>121.3</v>
      </c>
      <c r="V302" s="3">
        <v>362.2</v>
      </c>
      <c r="W302" t="s">
        <v>32</v>
      </c>
      <c r="X302" s="3">
        <v>114.6</v>
      </c>
      <c r="Y302" s="3">
        <v>115.8</v>
      </c>
      <c r="Z302" s="3">
        <v>116.7</v>
      </c>
      <c r="AA302" s="3">
        <v>114.5</v>
      </c>
      <c r="AB302" s="3">
        <v>112.8</v>
      </c>
      <c r="AC302" s="3">
        <v>112.6</v>
      </c>
      <c r="AD302" s="3">
        <v>116.6</v>
      </c>
      <c r="AE302" s="3">
        <v>109.1</v>
      </c>
      <c r="AF302" s="3">
        <v>113.7</v>
      </c>
      <c r="AG302" s="3">
        <v>564.90000000000009</v>
      </c>
      <c r="AH302" s="3">
        <v>120.9</v>
      </c>
      <c r="AI302" s="10" t="str">
        <f t="shared" si="4"/>
        <v>2014 September</v>
      </c>
    </row>
    <row r="303" spans="1:35">
      <c r="A303" t="s">
        <v>33</v>
      </c>
      <c r="B303">
        <v>2014</v>
      </c>
      <c r="C303" t="s">
        <v>42</v>
      </c>
      <c r="D303" s="3">
        <v>124.2</v>
      </c>
      <c r="E303" s="3">
        <v>125.4</v>
      </c>
      <c r="F303" s="3">
        <v>116.4</v>
      </c>
      <c r="G303" s="3">
        <v>122.7</v>
      </c>
      <c r="H303" s="3">
        <v>103.5</v>
      </c>
      <c r="I303" s="3">
        <v>124.5</v>
      </c>
      <c r="J303" s="3">
        <v>168.6</v>
      </c>
      <c r="K303" s="3">
        <v>116.9</v>
      </c>
      <c r="L303" s="3">
        <v>101.9</v>
      </c>
      <c r="M303" s="3">
        <v>122.9</v>
      </c>
      <c r="N303" s="3">
        <v>114.8</v>
      </c>
      <c r="O303" s="3">
        <v>125.2</v>
      </c>
      <c r="P303" s="3">
        <v>126.7</v>
      </c>
      <c r="Q303" s="3">
        <v>1593.7000000000003</v>
      </c>
      <c r="R303" s="3">
        <v>124.3</v>
      </c>
      <c r="S303" s="3">
        <v>119.2</v>
      </c>
      <c r="T303" s="3">
        <v>114.5</v>
      </c>
      <c r="U303" s="3">
        <v>118.4</v>
      </c>
      <c r="V303" s="3">
        <v>352.1</v>
      </c>
      <c r="W303">
        <v>116.1</v>
      </c>
      <c r="X303" s="3">
        <v>116.1</v>
      </c>
      <c r="Y303" s="3">
        <v>111.8</v>
      </c>
      <c r="Z303" s="3">
        <v>115.5</v>
      </c>
      <c r="AA303" s="3">
        <v>112.3</v>
      </c>
      <c r="AB303" s="3">
        <v>111.2</v>
      </c>
      <c r="AC303" s="3">
        <v>113.4</v>
      </c>
      <c r="AD303" s="3">
        <v>120</v>
      </c>
      <c r="AE303" s="3">
        <v>110</v>
      </c>
      <c r="AF303" s="3">
        <v>113.6</v>
      </c>
      <c r="AG303" s="3">
        <v>563.70000000000005</v>
      </c>
      <c r="AH303" s="3">
        <v>119.2</v>
      </c>
      <c r="AI303" s="10" t="str">
        <f t="shared" si="4"/>
        <v>2014 September</v>
      </c>
    </row>
    <row r="304" spans="1:35">
      <c r="A304" t="s">
        <v>34</v>
      </c>
      <c r="B304">
        <v>2014</v>
      </c>
      <c r="C304" t="s">
        <v>42</v>
      </c>
      <c r="D304" s="3">
        <v>122.9</v>
      </c>
      <c r="E304" s="3">
        <v>123.5</v>
      </c>
      <c r="F304" s="3">
        <v>117.3</v>
      </c>
      <c r="G304" s="3">
        <v>122.7</v>
      </c>
      <c r="H304" s="3">
        <v>107.9</v>
      </c>
      <c r="I304" s="3">
        <v>127.3</v>
      </c>
      <c r="J304" s="3">
        <v>162.1</v>
      </c>
      <c r="K304" s="3">
        <v>115.6</v>
      </c>
      <c r="L304" s="3">
        <v>103.8</v>
      </c>
      <c r="M304" s="3">
        <v>117.6</v>
      </c>
      <c r="N304" s="3">
        <v>115.8</v>
      </c>
      <c r="O304" s="3">
        <v>123.8</v>
      </c>
      <c r="P304" s="3">
        <v>125.8</v>
      </c>
      <c r="Q304" s="3">
        <v>1586.0999999999997</v>
      </c>
      <c r="R304" s="3">
        <v>120.8</v>
      </c>
      <c r="S304" s="3">
        <v>120.7</v>
      </c>
      <c r="T304" s="3">
        <v>117.2</v>
      </c>
      <c r="U304" s="3">
        <v>120.1</v>
      </c>
      <c r="V304" s="3">
        <v>358</v>
      </c>
      <c r="W304">
        <v>116.1</v>
      </c>
      <c r="X304" s="3">
        <v>116.1</v>
      </c>
      <c r="Y304" s="3">
        <v>114.3</v>
      </c>
      <c r="Z304" s="3">
        <v>116.1</v>
      </c>
      <c r="AA304" s="3">
        <v>113.7</v>
      </c>
      <c r="AB304" s="3">
        <v>112</v>
      </c>
      <c r="AC304" s="3">
        <v>113.1</v>
      </c>
      <c r="AD304" s="3">
        <v>118.6</v>
      </c>
      <c r="AE304" s="3">
        <v>109.5</v>
      </c>
      <c r="AF304" s="3">
        <v>113.7</v>
      </c>
      <c r="AG304" s="3">
        <v>564.4</v>
      </c>
      <c r="AH304" s="3">
        <v>120.1</v>
      </c>
      <c r="AI304" s="10" t="str">
        <f t="shared" si="4"/>
        <v>2014 September</v>
      </c>
    </row>
    <row r="305" spans="1:35">
      <c r="A305" t="s">
        <v>30</v>
      </c>
      <c r="B305">
        <v>2014</v>
      </c>
      <c r="C305" t="s">
        <v>43</v>
      </c>
      <c r="D305" s="3">
        <v>122.6</v>
      </c>
      <c r="E305" s="3">
        <v>122.5</v>
      </c>
      <c r="F305" s="3">
        <v>118.3</v>
      </c>
      <c r="G305" s="3">
        <v>123.2</v>
      </c>
      <c r="H305" s="3">
        <v>110.5</v>
      </c>
      <c r="I305" s="3">
        <v>128.9</v>
      </c>
      <c r="J305" s="3">
        <v>155.30000000000001</v>
      </c>
      <c r="K305" s="3">
        <v>115.5</v>
      </c>
      <c r="L305" s="3">
        <v>104</v>
      </c>
      <c r="M305" s="3">
        <v>115.3</v>
      </c>
      <c r="N305" s="3">
        <v>116.8</v>
      </c>
      <c r="O305" s="3">
        <v>123.2</v>
      </c>
      <c r="P305" s="3">
        <v>125.1</v>
      </c>
      <c r="Q305" s="3">
        <v>1581.1999999999998</v>
      </c>
      <c r="R305" s="3">
        <v>120</v>
      </c>
      <c r="S305" s="3">
        <v>122.7</v>
      </c>
      <c r="T305" s="3">
        <v>120.3</v>
      </c>
      <c r="U305" s="3">
        <v>122.3</v>
      </c>
      <c r="V305" s="3">
        <v>365.3</v>
      </c>
      <c r="W305" t="s">
        <v>32</v>
      </c>
      <c r="X305" s="3">
        <v>114.6</v>
      </c>
      <c r="Y305" s="3">
        <v>116.4</v>
      </c>
      <c r="Z305" s="3">
        <v>117.5</v>
      </c>
      <c r="AA305" s="3">
        <v>115.3</v>
      </c>
      <c r="AB305" s="3">
        <v>112.6</v>
      </c>
      <c r="AC305" s="3">
        <v>113</v>
      </c>
      <c r="AD305" s="3">
        <v>116.9</v>
      </c>
      <c r="AE305" s="3">
        <v>109.3</v>
      </c>
      <c r="AF305" s="3">
        <v>114</v>
      </c>
      <c r="AG305" s="3">
        <v>566.40000000000009</v>
      </c>
      <c r="AH305" s="3">
        <v>121</v>
      </c>
      <c r="AI305" s="10" t="str">
        <f t="shared" si="4"/>
        <v>2014 October</v>
      </c>
    </row>
    <row r="306" spans="1:35">
      <c r="A306" t="s">
        <v>33</v>
      </c>
      <c r="B306">
        <v>2014</v>
      </c>
      <c r="C306" t="s">
        <v>43</v>
      </c>
      <c r="D306" s="3">
        <v>124.6</v>
      </c>
      <c r="E306" s="3">
        <v>126.1</v>
      </c>
      <c r="F306" s="3">
        <v>117.8</v>
      </c>
      <c r="G306" s="3">
        <v>123.1</v>
      </c>
      <c r="H306" s="3">
        <v>103.5</v>
      </c>
      <c r="I306" s="3">
        <v>123.5</v>
      </c>
      <c r="J306" s="3">
        <v>159.6</v>
      </c>
      <c r="K306" s="3">
        <v>117.4</v>
      </c>
      <c r="L306" s="3">
        <v>101.2</v>
      </c>
      <c r="M306" s="3">
        <v>123.8</v>
      </c>
      <c r="N306" s="3">
        <v>115.2</v>
      </c>
      <c r="O306" s="3">
        <v>125.9</v>
      </c>
      <c r="P306" s="3">
        <v>125.8</v>
      </c>
      <c r="Q306" s="3">
        <v>1587.5</v>
      </c>
      <c r="R306" s="3">
        <v>124.3</v>
      </c>
      <c r="S306" s="3">
        <v>119.6</v>
      </c>
      <c r="T306" s="3">
        <v>114.9</v>
      </c>
      <c r="U306" s="3">
        <v>118.9</v>
      </c>
      <c r="V306" s="3">
        <v>353.4</v>
      </c>
      <c r="W306">
        <v>116.7</v>
      </c>
      <c r="X306" s="3">
        <v>116.7</v>
      </c>
      <c r="Y306" s="3">
        <v>112</v>
      </c>
      <c r="Z306" s="3">
        <v>115.8</v>
      </c>
      <c r="AA306" s="3">
        <v>112.6</v>
      </c>
      <c r="AB306" s="3">
        <v>111</v>
      </c>
      <c r="AC306" s="3">
        <v>113.6</v>
      </c>
      <c r="AD306" s="3">
        <v>120.2</v>
      </c>
      <c r="AE306" s="3">
        <v>110.1</v>
      </c>
      <c r="AF306" s="3">
        <v>113.7</v>
      </c>
      <c r="AG306" s="3">
        <v>564.20000000000005</v>
      </c>
      <c r="AH306" s="3">
        <v>119.1</v>
      </c>
      <c r="AI306" s="10" t="str">
        <f t="shared" si="4"/>
        <v>2014 October</v>
      </c>
    </row>
    <row r="307" spans="1:35">
      <c r="A307" t="s">
        <v>34</v>
      </c>
      <c r="B307">
        <v>2014</v>
      </c>
      <c r="C307" t="s">
        <v>43</v>
      </c>
      <c r="D307" s="3">
        <v>123.2</v>
      </c>
      <c r="E307" s="3">
        <v>123.8</v>
      </c>
      <c r="F307" s="3">
        <v>118.1</v>
      </c>
      <c r="G307" s="3">
        <v>123.2</v>
      </c>
      <c r="H307" s="3">
        <v>107.9</v>
      </c>
      <c r="I307" s="3">
        <v>126.4</v>
      </c>
      <c r="J307" s="3">
        <v>156.80000000000001</v>
      </c>
      <c r="K307" s="3">
        <v>116.1</v>
      </c>
      <c r="L307" s="3">
        <v>103.1</v>
      </c>
      <c r="M307" s="3">
        <v>118.1</v>
      </c>
      <c r="N307" s="3">
        <v>116.1</v>
      </c>
      <c r="O307" s="3">
        <v>124.5</v>
      </c>
      <c r="P307" s="3">
        <v>125.4</v>
      </c>
      <c r="Q307" s="3">
        <v>1582.7</v>
      </c>
      <c r="R307" s="3">
        <v>121.1</v>
      </c>
      <c r="S307" s="3">
        <v>121.5</v>
      </c>
      <c r="T307" s="3">
        <v>118.1</v>
      </c>
      <c r="U307" s="3">
        <v>121</v>
      </c>
      <c r="V307" s="3">
        <v>360.6</v>
      </c>
      <c r="W307">
        <v>116.7</v>
      </c>
      <c r="X307" s="3">
        <v>116.7</v>
      </c>
      <c r="Y307" s="3">
        <v>114.7</v>
      </c>
      <c r="Z307" s="3">
        <v>116.7</v>
      </c>
      <c r="AA307" s="3">
        <v>114.3</v>
      </c>
      <c r="AB307" s="3">
        <v>111.8</v>
      </c>
      <c r="AC307" s="3">
        <v>113.3</v>
      </c>
      <c r="AD307" s="3">
        <v>118.8</v>
      </c>
      <c r="AE307" s="3">
        <v>109.6</v>
      </c>
      <c r="AF307" s="3">
        <v>113.9</v>
      </c>
      <c r="AG307" s="3">
        <v>565.29999999999995</v>
      </c>
      <c r="AH307" s="3">
        <v>120.1</v>
      </c>
      <c r="AI307" s="10" t="str">
        <f t="shared" si="4"/>
        <v>2014 October</v>
      </c>
    </row>
    <row r="308" spans="1:35">
      <c r="A308" t="s">
        <v>30</v>
      </c>
      <c r="B308">
        <v>2014</v>
      </c>
      <c r="C308" t="s">
        <v>45</v>
      </c>
      <c r="D308" s="3">
        <v>122.7</v>
      </c>
      <c r="E308" s="3">
        <v>122.6</v>
      </c>
      <c r="F308" s="3">
        <v>119.9</v>
      </c>
      <c r="G308" s="3">
        <v>124</v>
      </c>
      <c r="H308" s="3">
        <v>110.5</v>
      </c>
      <c r="I308" s="3">
        <v>128.80000000000001</v>
      </c>
      <c r="J308" s="3">
        <v>152</v>
      </c>
      <c r="K308" s="3">
        <v>116.2</v>
      </c>
      <c r="L308" s="3">
        <v>103.3</v>
      </c>
      <c r="M308" s="3">
        <v>115.8</v>
      </c>
      <c r="N308" s="3">
        <v>116.8</v>
      </c>
      <c r="O308" s="3">
        <v>124.5</v>
      </c>
      <c r="P308" s="3">
        <v>124.9</v>
      </c>
      <c r="Q308" s="3">
        <v>1582</v>
      </c>
      <c r="R308" s="3">
        <v>120.8</v>
      </c>
      <c r="S308" s="3">
        <v>123.3</v>
      </c>
      <c r="T308" s="3">
        <v>120.5</v>
      </c>
      <c r="U308" s="3">
        <v>122.9</v>
      </c>
      <c r="V308" s="3">
        <v>366.70000000000005</v>
      </c>
      <c r="W308" t="s">
        <v>32</v>
      </c>
      <c r="X308" s="3">
        <v>114.6</v>
      </c>
      <c r="Y308" s="3">
        <v>117.3</v>
      </c>
      <c r="Z308" s="3">
        <v>118.1</v>
      </c>
      <c r="AA308" s="3">
        <v>115.9</v>
      </c>
      <c r="AB308" s="3">
        <v>112</v>
      </c>
      <c r="AC308" s="3">
        <v>113.3</v>
      </c>
      <c r="AD308" s="3">
        <v>117.2</v>
      </c>
      <c r="AE308" s="3">
        <v>108.8</v>
      </c>
      <c r="AF308" s="3">
        <v>114.1</v>
      </c>
      <c r="AG308" s="3">
        <v>566.29999999999995</v>
      </c>
      <c r="AH308" s="3">
        <v>121.1</v>
      </c>
      <c r="AI308" s="10" t="str">
        <f t="shared" si="4"/>
        <v>2014 November</v>
      </c>
    </row>
    <row r="309" spans="1:35">
      <c r="A309" t="s">
        <v>33</v>
      </c>
      <c r="B309">
        <v>2014</v>
      </c>
      <c r="C309" t="s">
        <v>45</v>
      </c>
      <c r="D309" s="3">
        <v>124.5</v>
      </c>
      <c r="E309" s="3">
        <v>125.6</v>
      </c>
      <c r="F309" s="3">
        <v>122.7</v>
      </c>
      <c r="G309" s="3">
        <v>124.6</v>
      </c>
      <c r="H309" s="3">
        <v>103.2</v>
      </c>
      <c r="I309" s="3">
        <v>122.2</v>
      </c>
      <c r="J309" s="3">
        <v>153.19999999999999</v>
      </c>
      <c r="K309" s="3">
        <v>119.3</v>
      </c>
      <c r="L309" s="3">
        <v>99.8</v>
      </c>
      <c r="M309" s="3">
        <v>124.6</v>
      </c>
      <c r="N309" s="3">
        <v>115.8</v>
      </c>
      <c r="O309" s="3">
        <v>126.9</v>
      </c>
      <c r="P309" s="3">
        <v>125.4</v>
      </c>
      <c r="Q309" s="3">
        <v>1587.8</v>
      </c>
      <c r="R309" s="3">
        <v>125.8</v>
      </c>
      <c r="S309" s="3">
        <v>120.3</v>
      </c>
      <c r="T309" s="3">
        <v>115.4</v>
      </c>
      <c r="U309" s="3">
        <v>119.5</v>
      </c>
      <c r="V309" s="3">
        <v>355.2</v>
      </c>
      <c r="W309">
        <v>117.1</v>
      </c>
      <c r="X309" s="3">
        <v>117.1</v>
      </c>
      <c r="Y309" s="3">
        <v>112.6</v>
      </c>
      <c r="Z309" s="3">
        <v>116.4</v>
      </c>
      <c r="AA309" s="3">
        <v>113</v>
      </c>
      <c r="AB309" s="3">
        <v>109.7</v>
      </c>
      <c r="AC309" s="3">
        <v>114</v>
      </c>
      <c r="AD309" s="3">
        <v>120.3</v>
      </c>
      <c r="AE309" s="3">
        <v>109.6</v>
      </c>
      <c r="AF309" s="3">
        <v>113.4</v>
      </c>
      <c r="AG309" s="3">
        <v>563.1</v>
      </c>
      <c r="AH309" s="3">
        <v>119</v>
      </c>
      <c r="AI309" s="10" t="str">
        <f t="shared" si="4"/>
        <v>2014 November</v>
      </c>
    </row>
    <row r="310" spans="1:35">
      <c r="A310" t="s">
        <v>34</v>
      </c>
      <c r="B310">
        <v>2014</v>
      </c>
      <c r="C310" t="s">
        <v>45</v>
      </c>
      <c r="D310" s="3">
        <v>123.3</v>
      </c>
      <c r="E310" s="3">
        <v>123.7</v>
      </c>
      <c r="F310" s="3">
        <v>121</v>
      </c>
      <c r="G310" s="3">
        <v>124.2</v>
      </c>
      <c r="H310" s="3">
        <v>107.8</v>
      </c>
      <c r="I310" s="3">
        <v>125.7</v>
      </c>
      <c r="J310" s="3">
        <v>152.4</v>
      </c>
      <c r="K310" s="3">
        <v>117.2</v>
      </c>
      <c r="L310" s="3">
        <v>102.1</v>
      </c>
      <c r="M310" s="3">
        <v>118.7</v>
      </c>
      <c r="N310" s="3">
        <v>116.4</v>
      </c>
      <c r="O310" s="3">
        <v>125.6</v>
      </c>
      <c r="P310" s="3">
        <v>125.1</v>
      </c>
      <c r="Q310" s="3">
        <v>1583.2</v>
      </c>
      <c r="R310" s="3">
        <v>122.1</v>
      </c>
      <c r="S310" s="3">
        <v>122.1</v>
      </c>
      <c r="T310" s="3">
        <v>118.4</v>
      </c>
      <c r="U310" s="3">
        <v>121.6</v>
      </c>
      <c r="V310" s="3">
        <v>362.1</v>
      </c>
      <c r="W310">
        <v>117.1</v>
      </c>
      <c r="X310" s="3">
        <v>117.1</v>
      </c>
      <c r="Y310" s="3">
        <v>115.5</v>
      </c>
      <c r="Z310" s="3">
        <v>117.3</v>
      </c>
      <c r="AA310" s="3">
        <v>114.8</v>
      </c>
      <c r="AB310" s="3">
        <v>110.8</v>
      </c>
      <c r="AC310" s="3">
        <v>113.7</v>
      </c>
      <c r="AD310" s="3">
        <v>119</v>
      </c>
      <c r="AE310" s="3">
        <v>109.1</v>
      </c>
      <c r="AF310" s="3">
        <v>113.8</v>
      </c>
      <c r="AG310" s="3">
        <v>564.69999999999993</v>
      </c>
      <c r="AH310" s="3">
        <v>120.1</v>
      </c>
      <c r="AI310" s="10" t="str">
        <f t="shared" si="4"/>
        <v>2014 November</v>
      </c>
    </row>
    <row r="311" spans="1:35">
      <c r="A311" t="s">
        <v>30</v>
      </c>
      <c r="B311">
        <v>2014</v>
      </c>
      <c r="C311" t="s">
        <v>38</v>
      </c>
      <c r="D311" s="3">
        <v>120.3</v>
      </c>
      <c r="E311" s="3">
        <v>120.2</v>
      </c>
      <c r="F311" s="3">
        <v>116.9</v>
      </c>
      <c r="G311" s="3">
        <v>118</v>
      </c>
      <c r="H311" s="3">
        <v>110.1</v>
      </c>
      <c r="I311" s="3">
        <v>126.3</v>
      </c>
      <c r="J311" s="3">
        <v>123.9</v>
      </c>
      <c r="K311" s="3">
        <v>111.5</v>
      </c>
      <c r="L311" s="3">
        <v>103.5</v>
      </c>
      <c r="M311" s="3">
        <v>111.6</v>
      </c>
      <c r="N311" s="3">
        <v>114.2</v>
      </c>
      <c r="O311" s="3">
        <v>119.2</v>
      </c>
      <c r="P311" s="3">
        <v>118.2</v>
      </c>
      <c r="Q311" s="3">
        <v>1513.8999999999999</v>
      </c>
      <c r="R311" s="3">
        <v>116.3</v>
      </c>
      <c r="S311" s="3">
        <v>118.7</v>
      </c>
      <c r="T311" s="3">
        <v>116.8</v>
      </c>
      <c r="U311" s="3">
        <v>118.5</v>
      </c>
      <c r="V311" s="3">
        <v>354</v>
      </c>
      <c r="W311" t="s">
        <v>32</v>
      </c>
      <c r="X311" s="3">
        <v>114.6</v>
      </c>
      <c r="Y311" s="3">
        <v>113.4</v>
      </c>
      <c r="Z311" s="3">
        <v>114.1</v>
      </c>
      <c r="AA311" s="3">
        <v>112.1</v>
      </c>
      <c r="AB311" s="3">
        <v>111.4</v>
      </c>
      <c r="AC311" s="3">
        <v>110.9</v>
      </c>
      <c r="AD311" s="3">
        <v>113.1</v>
      </c>
      <c r="AE311" s="3">
        <v>108.9</v>
      </c>
      <c r="AF311" s="3">
        <v>111.8</v>
      </c>
      <c r="AG311" s="3">
        <v>557.09999999999991</v>
      </c>
      <c r="AH311" s="3">
        <v>116</v>
      </c>
      <c r="AI311" s="10" t="str">
        <f t="shared" si="4"/>
        <v>2014 May</v>
      </c>
    </row>
    <row r="312" spans="1:35">
      <c r="A312" t="s">
        <v>33</v>
      </c>
      <c r="B312">
        <v>2014</v>
      </c>
      <c r="C312" t="s">
        <v>38</v>
      </c>
      <c r="D312" s="3">
        <v>122.7</v>
      </c>
      <c r="E312" s="3">
        <v>124.1</v>
      </c>
      <c r="F312" s="3">
        <v>114.2</v>
      </c>
      <c r="G312" s="3">
        <v>119.1</v>
      </c>
      <c r="H312" s="3">
        <v>103.5</v>
      </c>
      <c r="I312" s="3">
        <v>129.19999999999999</v>
      </c>
      <c r="J312" s="3">
        <v>127</v>
      </c>
      <c r="K312" s="3">
        <v>112.6</v>
      </c>
      <c r="L312" s="3">
        <v>101.3</v>
      </c>
      <c r="M312" s="3">
        <v>117</v>
      </c>
      <c r="N312" s="3">
        <v>112.9</v>
      </c>
      <c r="O312" s="3">
        <v>121.7</v>
      </c>
      <c r="P312" s="3">
        <v>120</v>
      </c>
      <c r="Q312" s="3">
        <v>1525.3000000000002</v>
      </c>
      <c r="R312" s="3">
        <v>118.3</v>
      </c>
      <c r="S312" s="3">
        <v>116.8</v>
      </c>
      <c r="T312" s="3">
        <v>112.9</v>
      </c>
      <c r="U312" s="3">
        <v>116.2</v>
      </c>
      <c r="V312" s="3">
        <v>345.9</v>
      </c>
      <c r="W312">
        <v>114.3</v>
      </c>
      <c r="X312" s="3">
        <v>114.3</v>
      </c>
      <c r="Y312" s="3">
        <v>111.1</v>
      </c>
      <c r="Z312" s="3">
        <v>114.1</v>
      </c>
      <c r="AA312" s="3">
        <v>111.2</v>
      </c>
      <c r="AB312" s="3">
        <v>111.3</v>
      </c>
      <c r="AC312" s="3">
        <v>111.5</v>
      </c>
      <c r="AD312" s="3">
        <v>112.9</v>
      </c>
      <c r="AE312" s="3">
        <v>109.3</v>
      </c>
      <c r="AF312" s="3">
        <v>111.7</v>
      </c>
      <c r="AG312" s="3">
        <v>557.9</v>
      </c>
      <c r="AH312" s="3">
        <v>115.6</v>
      </c>
      <c r="AI312" s="10" t="str">
        <f t="shared" si="4"/>
        <v>2014 May</v>
      </c>
    </row>
    <row r="313" spans="1:35">
      <c r="A313" t="s">
        <v>34</v>
      </c>
      <c r="B313">
        <v>2014</v>
      </c>
      <c r="C313" t="s">
        <v>38</v>
      </c>
      <c r="D313" s="3">
        <v>121.1</v>
      </c>
      <c r="E313" s="3">
        <v>121.6</v>
      </c>
      <c r="F313" s="3">
        <v>115.9</v>
      </c>
      <c r="G313" s="3">
        <v>118.4</v>
      </c>
      <c r="H313" s="3">
        <v>107.7</v>
      </c>
      <c r="I313" s="3">
        <v>127.7</v>
      </c>
      <c r="J313" s="3">
        <v>125</v>
      </c>
      <c r="K313" s="3">
        <v>111.9</v>
      </c>
      <c r="L313" s="3">
        <v>102.8</v>
      </c>
      <c r="M313" s="3">
        <v>113.4</v>
      </c>
      <c r="N313" s="3">
        <v>113.7</v>
      </c>
      <c r="O313" s="3">
        <v>120.4</v>
      </c>
      <c r="P313" s="3">
        <v>118.9</v>
      </c>
      <c r="Q313" s="3">
        <v>1518.5000000000005</v>
      </c>
      <c r="R313" s="3">
        <v>116.8</v>
      </c>
      <c r="S313" s="3">
        <v>118</v>
      </c>
      <c r="T313" s="3">
        <v>115.2</v>
      </c>
      <c r="U313" s="3">
        <v>117.6</v>
      </c>
      <c r="V313" s="3">
        <v>350.79999999999995</v>
      </c>
      <c r="W313">
        <v>114.3</v>
      </c>
      <c r="X313" s="3">
        <v>114.3</v>
      </c>
      <c r="Y313" s="3">
        <v>112.5</v>
      </c>
      <c r="Z313" s="3">
        <v>114.1</v>
      </c>
      <c r="AA313" s="3">
        <v>111.8</v>
      </c>
      <c r="AB313" s="3">
        <v>111.3</v>
      </c>
      <c r="AC313" s="3">
        <v>111.2</v>
      </c>
      <c r="AD313" s="3">
        <v>113</v>
      </c>
      <c r="AE313" s="3">
        <v>109.1</v>
      </c>
      <c r="AF313" s="3">
        <v>111.8</v>
      </c>
      <c r="AG313" s="3">
        <v>557.49999999999989</v>
      </c>
      <c r="AH313" s="3">
        <v>115.8</v>
      </c>
      <c r="AI313" s="10" t="str">
        <f t="shared" si="4"/>
        <v>2014 May</v>
      </c>
    </row>
    <row r="314" spans="1:35">
      <c r="A314" t="s">
        <v>34</v>
      </c>
      <c r="B314">
        <v>2014</v>
      </c>
      <c r="C314" t="s">
        <v>47</v>
      </c>
      <c r="D314" s="3">
        <v>120.7</v>
      </c>
      <c r="E314" s="3">
        <v>119.3</v>
      </c>
      <c r="F314" s="3">
        <v>121</v>
      </c>
      <c r="G314" s="3">
        <v>116.1</v>
      </c>
      <c r="H314" s="3">
        <v>106.9</v>
      </c>
      <c r="I314" s="3">
        <v>118.7</v>
      </c>
      <c r="J314" s="3">
        <v>116.3</v>
      </c>
      <c r="K314" s="3">
        <v>109.8</v>
      </c>
      <c r="L314" s="3">
        <v>99.6</v>
      </c>
      <c r="M314" s="3">
        <v>111.8</v>
      </c>
      <c r="N314" s="3">
        <v>112.7</v>
      </c>
      <c r="O314" s="3">
        <v>119.3</v>
      </c>
      <c r="P314" s="3">
        <v>116.1</v>
      </c>
      <c r="Q314" s="3">
        <v>1488.2999999999997</v>
      </c>
      <c r="R314" s="3">
        <v>115.2</v>
      </c>
      <c r="S314" s="3">
        <v>116.8</v>
      </c>
      <c r="T314" s="3">
        <v>113.7</v>
      </c>
      <c r="U314" s="3">
        <v>116.4</v>
      </c>
      <c r="V314" s="3">
        <v>346.9</v>
      </c>
      <c r="W314">
        <v>113.2</v>
      </c>
      <c r="X314" s="3">
        <v>113.2</v>
      </c>
      <c r="Y314" s="3">
        <v>112.5</v>
      </c>
      <c r="Z314" s="3">
        <v>113.2</v>
      </c>
      <c r="AA314" s="3">
        <v>111.2</v>
      </c>
      <c r="AB314" s="3">
        <v>111.4</v>
      </c>
      <c r="AC314" s="3">
        <v>110.6</v>
      </c>
      <c r="AD314" s="3">
        <v>112</v>
      </c>
      <c r="AE314" s="3">
        <v>109</v>
      </c>
      <c r="AF314" s="3">
        <v>111.3</v>
      </c>
      <c r="AG314" s="3">
        <v>555.5</v>
      </c>
      <c r="AH314" s="3">
        <v>114.2</v>
      </c>
      <c r="AI314" s="10" t="str">
        <f t="shared" si="4"/>
        <v>2014 Marcrh</v>
      </c>
    </row>
    <row r="315" spans="1:35">
      <c r="A315" t="s">
        <v>30</v>
      </c>
      <c r="B315">
        <v>2014</v>
      </c>
      <c r="C315" t="s">
        <v>36</v>
      </c>
      <c r="D315" s="3">
        <v>120.1</v>
      </c>
      <c r="E315" s="3">
        <v>118.1</v>
      </c>
      <c r="F315" s="3">
        <v>120.7</v>
      </c>
      <c r="G315" s="3">
        <v>116.1</v>
      </c>
      <c r="H315" s="3">
        <v>109.3</v>
      </c>
      <c r="I315" s="3">
        <v>119.6</v>
      </c>
      <c r="J315" s="3">
        <v>117.9</v>
      </c>
      <c r="K315" s="3">
        <v>110.2</v>
      </c>
      <c r="L315" s="3">
        <v>101.2</v>
      </c>
      <c r="M315" s="3">
        <v>110.7</v>
      </c>
      <c r="N315" s="3">
        <v>113</v>
      </c>
      <c r="O315" s="3">
        <v>118.3</v>
      </c>
      <c r="P315" s="3">
        <v>116.2</v>
      </c>
      <c r="Q315" s="3">
        <v>1491.4</v>
      </c>
      <c r="R315" s="3">
        <v>114.6</v>
      </c>
      <c r="S315" s="3">
        <v>117.5</v>
      </c>
      <c r="T315" s="3">
        <v>114.9</v>
      </c>
      <c r="U315" s="3">
        <v>117.2</v>
      </c>
      <c r="V315" s="3">
        <v>349.6</v>
      </c>
      <c r="W315" t="s">
        <v>32</v>
      </c>
      <c r="X315" s="3">
        <v>114.6</v>
      </c>
      <c r="Y315" s="3">
        <v>113.4</v>
      </c>
      <c r="Z315" s="3">
        <v>113.4</v>
      </c>
      <c r="AA315" s="3">
        <v>111.4</v>
      </c>
      <c r="AB315" s="3">
        <v>111.2</v>
      </c>
      <c r="AC315" s="3">
        <v>110.2</v>
      </c>
      <c r="AD315" s="3">
        <v>112.4</v>
      </c>
      <c r="AE315" s="3">
        <v>108.9</v>
      </c>
      <c r="AF315" s="3">
        <v>111.3</v>
      </c>
      <c r="AG315" s="3">
        <v>555</v>
      </c>
      <c r="AH315" s="3">
        <v>114.6</v>
      </c>
      <c r="AI315" s="10" t="str">
        <f t="shared" si="4"/>
        <v>2014 March</v>
      </c>
    </row>
    <row r="316" spans="1:35">
      <c r="A316" t="s">
        <v>33</v>
      </c>
      <c r="B316">
        <v>2014</v>
      </c>
      <c r="C316" t="s">
        <v>36</v>
      </c>
      <c r="D316" s="3">
        <v>122.1</v>
      </c>
      <c r="E316" s="3">
        <v>121.4</v>
      </c>
      <c r="F316" s="3">
        <v>121.5</v>
      </c>
      <c r="G316" s="3">
        <v>116.2</v>
      </c>
      <c r="H316" s="3">
        <v>102.8</v>
      </c>
      <c r="I316" s="3">
        <v>117.7</v>
      </c>
      <c r="J316" s="3">
        <v>113.3</v>
      </c>
      <c r="K316" s="3">
        <v>108.9</v>
      </c>
      <c r="L316" s="3">
        <v>96.3</v>
      </c>
      <c r="M316" s="3">
        <v>114.1</v>
      </c>
      <c r="N316" s="3">
        <v>112.2</v>
      </c>
      <c r="O316" s="3">
        <v>120.5</v>
      </c>
      <c r="P316" s="3">
        <v>116</v>
      </c>
      <c r="Q316" s="3">
        <v>1483</v>
      </c>
      <c r="R316" s="3">
        <v>116.7</v>
      </c>
      <c r="S316" s="3">
        <v>115.8</v>
      </c>
      <c r="T316" s="3">
        <v>112.1</v>
      </c>
      <c r="U316" s="3">
        <v>115.2</v>
      </c>
      <c r="V316" s="3">
        <v>343.09999999999997</v>
      </c>
      <c r="W316">
        <v>113.2</v>
      </c>
      <c r="X316" s="3">
        <v>113.2</v>
      </c>
      <c r="Y316" s="3">
        <v>110.9</v>
      </c>
      <c r="Z316" s="3">
        <v>113</v>
      </c>
      <c r="AA316" s="3">
        <v>110.8</v>
      </c>
      <c r="AB316" s="3">
        <v>111.6</v>
      </c>
      <c r="AC316" s="3">
        <v>110.9</v>
      </c>
      <c r="AD316" s="3">
        <v>111.8</v>
      </c>
      <c r="AE316" s="3">
        <v>109.2</v>
      </c>
      <c r="AF316" s="3">
        <v>111.4</v>
      </c>
      <c r="AG316" s="3">
        <v>556.1</v>
      </c>
      <c r="AH316" s="3">
        <v>113.7</v>
      </c>
      <c r="AI316" s="10" t="str">
        <f t="shared" si="4"/>
        <v>2014 March</v>
      </c>
    </row>
    <row r="317" spans="1:35">
      <c r="A317" t="s">
        <v>30</v>
      </c>
      <c r="B317">
        <v>2014</v>
      </c>
      <c r="C317" t="s">
        <v>39</v>
      </c>
      <c r="D317" s="3">
        <v>120.7</v>
      </c>
      <c r="E317" s="3">
        <v>121.6</v>
      </c>
      <c r="F317" s="3">
        <v>116.1</v>
      </c>
      <c r="G317" s="3">
        <v>119.3</v>
      </c>
      <c r="H317" s="3">
        <v>110.3</v>
      </c>
      <c r="I317" s="3">
        <v>125.8</v>
      </c>
      <c r="J317" s="3">
        <v>129.30000000000001</v>
      </c>
      <c r="K317" s="3">
        <v>112.2</v>
      </c>
      <c r="L317" s="3">
        <v>103.6</v>
      </c>
      <c r="M317" s="3">
        <v>112.3</v>
      </c>
      <c r="N317" s="3">
        <v>114.9</v>
      </c>
      <c r="O317" s="3">
        <v>120.1</v>
      </c>
      <c r="P317" s="3">
        <v>119.5</v>
      </c>
      <c r="Q317" s="3">
        <v>1525.6999999999998</v>
      </c>
      <c r="R317" s="3">
        <v>117.3</v>
      </c>
      <c r="S317" s="3">
        <v>119.7</v>
      </c>
      <c r="T317" s="3">
        <v>117.3</v>
      </c>
      <c r="U317" s="3">
        <v>119.3</v>
      </c>
      <c r="V317" s="3">
        <v>356.3</v>
      </c>
      <c r="W317" t="s">
        <v>32</v>
      </c>
      <c r="X317" s="3">
        <v>114.6</v>
      </c>
      <c r="Y317" s="3">
        <v>114.4</v>
      </c>
      <c r="Z317" s="3">
        <v>114.9</v>
      </c>
      <c r="AA317" s="3">
        <v>112.8</v>
      </c>
      <c r="AB317" s="3">
        <v>112.2</v>
      </c>
      <c r="AC317" s="3">
        <v>111.4</v>
      </c>
      <c r="AD317" s="3">
        <v>114.3</v>
      </c>
      <c r="AE317" s="3">
        <v>108</v>
      </c>
      <c r="AF317" s="3">
        <v>112.3</v>
      </c>
      <c r="AG317" s="3">
        <v>558.79999999999995</v>
      </c>
      <c r="AH317" s="3">
        <v>117</v>
      </c>
      <c r="AI317" s="10" t="str">
        <f t="shared" si="4"/>
        <v>2014 June</v>
      </c>
    </row>
    <row r="318" spans="1:35">
      <c r="A318" t="s">
        <v>33</v>
      </c>
      <c r="B318">
        <v>2014</v>
      </c>
      <c r="C318" t="s">
        <v>39</v>
      </c>
      <c r="D318" s="3">
        <v>123.1</v>
      </c>
      <c r="E318" s="3">
        <v>125.9</v>
      </c>
      <c r="F318" s="3">
        <v>115.4</v>
      </c>
      <c r="G318" s="3">
        <v>120.4</v>
      </c>
      <c r="H318" s="3">
        <v>103.4</v>
      </c>
      <c r="I318" s="3">
        <v>131.19999999999999</v>
      </c>
      <c r="J318" s="3">
        <v>137.5</v>
      </c>
      <c r="K318" s="3">
        <v>112.8</v>
      </c>
      <c r="L318" s="3">
        <v>101.4</v>
      </c>
      <c r="M318" s="3">
        <v>118.3</v>
      </c>
      <c r="N318" s="3">
        <v>113.2</v>
      </c>
      <c r="O318" s="3">
        <v>122.4</v>
      </c>
      <c r="P318" s="3">
        <v>122</v>
      </c>
      <c r="Q318" s="3">
        <v>1547</v>
      </c>
      <c r="R318" s="3">
        <v>119</v>
      </c>
      <c r="S318" s="3">
        <v>117.4</v>
      </c>
      <c r="T318" s="3">
        <v>113.2</v>
      </c>
      <c r="U318" s="3">
        <v>116.7</v>
      </c>
      <c r="V318" s="3">
        <v>347.3</v>
      </c>
      <c r="W318">
        <v>113.9</v>
      </c>
      <c r="X318" s="3">
        <v>113.9</v>
      </c>
      <c r="Y318" s="3">
        <v>111.2</v>
      </c>
      <c r="Z318" s="3">
        <v>114.3</v>
      </c>
      <c r="AA318" s="3">
        <v>111.4</v>
      </c>
      <c r="AB318" s="3">
        <v>111.5</v>
      </c>
      <c r="AC318" s="3">
        <v>111.8</v>
      </c>
      <c r="AD318" s="3">
        <v>115.1</v>
      </c>
      <c r="AE318" s="3">
        <v>108.7</v>
      </c>
      <c r="AF318" s="3">
        <v>112.2</v>
      </c>
      <c r="AG318" s="3">
        <v>558.5</v>
      </c>
      <c r="AH318" s="3">
        <v>116.4</v>
      </c>
      <c r="AI318" s="10" t="str">
        <f t="shared" si="4"/>
        <v>2014 June</v>
      </c>
    </row>
    <row r="319" spans="1:35">
      <c r="A319" t="s">
        <v>34</v>
      </c>
      <c r="B319">
        <v>2014</v>
      </c>
      <c r="C319" t="s">
        <v>39</v>
      </c>
      <c r="D319" s="3">
        <v>121.5</v>
      </c>
      <c r="E319" s="3">
        <v>123.1</v>
      </c>
      <c r="F319" s="3">
        <v>115.8</v>
      </c>
      <c r="G319" s="3">
        <v>119.7</v>
      </c>
      <c r="H319" s="3">
        <v>107.8</v>
      </c>
      <c r="I319" s="3">
        <v>128.30000000000001</v>
      </c>
      <c r="J319" s="3">
        <v>132.1</v>
      </c>
      <c r="K319" s="3">
        <v>112.4</v>
      </c>
      <c r="L319" s="3">
        <v>102.9</v>
      </c>
      <c r="M319" s="3">
        <v>114.3</v>
      </c>
      <c r="N319" s="3">
        <v>114.2</v>
      </c>
      <c r="O319" s="3">
        <v>121.2</v>
      </c>
      <c r="P319" s="3">
        <v>120.4</v>
      </c>
      <c r="Q319" s="3">
        <v>1533.7000000000003</v>
      </c>
      <c r="R319" s="3">
        <v>117.8</v>
      </c>
      <c r="S319" s="3">
        <v>118.8</v>
      </c>
      <c r="T319" s="3">
        <v>115.6</v>
      </c>
      <c r="U319" s="3">
        <v>118.3</v>
      </c>
      <c r="V319" s="3">
        <v>352.7</v>
      </c>
      <c r="W319">
        <v>113.9</v>
      </c>
      <c r="X319" s="3">
        <v>113.9</v>
      </c>
      <c r="Y319" s="3">
        <v>113.2</v>
      </c>
      <c r="Z319" s="3">
        <v>114.6</v>
      </c>
      <c r="AA319" s="3">
        <v>112.3</v>
      </c>
      <c r="AB319" s="3">
        <v>111.8</v>
      </c>
      <c r="AC319" s="3">
        <v>111.6</v>
      </c>
      <c r="AD319" s="3">
        <v>114.8</v>
      </c>
      <c r="AE319" s="3">
        <v>108.3</v>
      </c>
      <c r="AF319" s="3">
        <v>112.3</v>
      </c>
      <c r="AG319" s="3">
        <v>558.6</v>
      </c>
      <c r="AH319" s="3">
        <v>116.7</v>
      </c>
      <c r="AI319" s="10" t="str">
        <f t="shared" si="4"/>
        <v>2014 June</v>
      </c>
    </row>
    <row r="320" spans="1:35">
      <c r="A320" t="s">
        <v>30</v>
      </c>
      <c r="B320">
        <v>2014</v>
      </c>
      <c r="C320" t="s">
        <v>40</v>
      </c>
      <c r="D320" s="3">
        <v>121.7</v>
      </c>
      <c r="E320" s="3">
        <v>122.5</v>
      </c>
      <c r="F320" s="3">
        <v>117.7</v>
      </c>
      <c r="G320" s="3">
        <v>120.6</v>
      </c>
      <c r="H320" s="3">
        <v>110.4</v>
      </c>
      <c r="I320" s="3">
        <v>129.1</v>
      </c>
      <c r="J320" s="3">
        <v>150.1</v>
      </c>
      <c r="K320" s="3">
        <v>113.2</v>
      </c>
      <c r="L320" s="3">
        <v>104.8</v>
      </c>
      <c r="M320" s="3">
        <v>113.3</v>
      </c>
      <c r="N320" s="3">
        <v>115.6</v>
      </c>
      <c r="O320" s="3">
        <v>120.9</v>
      </c>
      <c r="P320" s="3">
        <v>123.3</v>
      </c>
      <c r="Q320" s="3">
        <v>1563.2</v>
      </c>
      <c r="R320" s="3">
        <v>118</v>
      </c>
      <c r="S320" s="3">
        <v>120.7</v>
      </c>
      <c r="T320" s="3">
        <v>118.3</v>
      </c>
      <c r="U320" s="3">
        <v>120.3</v>
      </c>
      <c r="V320" s="3">
        <v>359.3</v>
      </c>
      <c r="W320" t="s">
        <v>32</v>
      </c>
      <c r="X320" s="3">
        <v>114.6</v>
      </c>
      <c r="Y320" s="3">
        <v>115.3</v>
      </c>
      <c r="Z320" s="3">
        <v>115.4</v>
      </c>
      <c r="AA320" s="3">
        <v>113.4</v>
      </c>
      <c r="AB320" s="3">
        <v>113.2</v>
      </c>
      <c r="AC320" s="3">
        <v>111.8</v>
      </c>
      <c r="AD320" s="3">
        <v>115.5</v>
      </c>
      <c r="AE320" s="3">
        <v>108.8</v>
      </c>
      <c r="AF320" s="3">
        <v>113.1</v>
      </c>
      <c r="AG320" s="3">
        <v>562.30000000000007</v>
      </c>
      <c r="AH320" s="3">
        <v>119.5</v>
      </c>
      <c r="AI320" s="10" t="str">
        <f t="shared" si="4"/>
        <v>2014 July</v>
      </c>
    </row>
    <row r="321" spans="1:35">
      <c r="A321" t="s">
        <v>33</v>
      </c>
      <c r="B321">
        <v>2014</v>
      </c>
      <c r="C321" t="s">
        <v>40</v>
      </c>
      <c r="D321" s="3">
        <v>123.8</v>
      </c>
      <c r="E321" s="3">
        <v>126.4</v>
      </c>
      <c r="F321" s="3">
        <v>118</v>
      </c>
      <c r="G321" s="3">
        <v>121.6</v>
      </c>
      <c r="H321" s="3">
        <v>103.5</v>
      </c>
      <c r="I321" s="3">
        <v>133.69999999999999</v>
      </c>
      <c r="J321" s="3">
        <v>172.4</v>
      </c>
      <c r="K321" s="3">
        <v>113.1</v>
      </c>
      <c r="L321" s="3">
        <v>102.7</v>
      </c>
      <c r="M321" s="3">
        <v>120</v>
      </c>
      <c r="N321" s="3">
        <v>113.8</v>
      </c>
      <c r="O321" s="3">
        <v>123.4</v>
      </c>
      <c r="P321" s="3">
        <v>127.1</v>
      </c>
      <c r="Q321" s="3">
        <v>1599.5</v>
      </c>
      <c r="R321" s="3">
        <v>121</v>
      </c>
      <c r="S321" s="3">
        <v>118</v>
      </c>
      <c r="T321" s="3">
        <v>113.6</v>
      </c>
      <c r="U321" s="3">
        <v>117.4</v>
      </c>
      <c r="V321" s="3">
        <v>349</v>
      </c>
      <c r="W321">
        <v>114.8</v>
      </c>
      <c r="X321" s="3">
        <v>114.8</v>
      </c>
      <c r="Y321" s="3">
        <v>111.6</v>
      </c>
      <c r="Z321" s="3">
        <v>114.9</v>
      </c>
      <c r="AA321" s="3">
        <v>111.5</v>
      </c>
      <c r="AB321" s="3">
        <v>113</v>
      </c>
      <c r="AC321" s="3">
        <v>112.4</v>
      </c>
      <c r="AD321" s="3">
        <v>117.8</v>
      </c>
      <c r="AE321" s="3">
        <v>109.7</v>
      </c>
      <c r="AF321" s="3">
        <v>113.5</v>
      </c>
      <c r="AG321" s="3">
        <v>563.5</v>
      </c>
      <c r="AH321" s="3">
        <v>118.9</v>
      </c>
      <c r="AI321" s="10" t="str">
        <f t="shared" si="4"/>
        <v>2014 July</v>
      </c>
    </row>
    <row r="322" spans="1:35">
      <c r="A322" t="s">
        <v>34</v>
      </c>
      <c r="B322">
        <v>2014</v>
      </c>
      <c r="C322" t="s">
        <v>40</v>
      </c>
      <c r="D322" s="3">
        <v>122.4</v>
      </c>
      <c r="E322" s="3">
        <v>123.9</v>
      </c>
      <c r="F322" s="3">
        <v>117.8</v>
      </c>
      <c r="G322" s="3">
        <v>121</v>
      </c>
      <c r="H322" s="3">
        <v>107.9</v>
      </c>
      <c r="I322" s="3">
        <v>131.19999999999999</v>
      </c>
      <c r="J322" s="3">
        <v>157.69999999999999</v>
      </c>
      <c r="K322" s="3">
        <v>113.2</v>
      </c>
      <c r="L322" s="3">
        <v>104.1</v>
      </c>
      <c r="M322" s="3">
        <v>115.5</v>
      </c>
      <c r="N322" s="3">
        <v>114.8</v>
      </c>
      <c r="O322" s="3">
        <v>122.1</v>
      </c>
      <c r="P322" s="3">
        <v>124.7</v>
      </c>
      <c r="Q322" s="3">
        <v>1576.3</v>
      </c>
      <c r="R322" s="3">
        <v>118.8</v>
      </c>
      <c r="S322" s="3">
        <v>119.6</v>
      </c>
      <c r="T322" s="3">
        <v>116.3</v>
      </c>
      <c r="U322" s="3">
        <v>119.1</v>
      </c>
      <c r="V322" s="3">
        <v>355</v>
      </c>
      <c r="W322">
        <v>114.8</v>
      </c>
      <c r="X322" s="3">
        <v>114.8</v>
      </c>
      <c r="Y322" s="3">
        <v>113.9</v>
      </c>
      <c r="Z322" s="3">
        <v>115.2</v>
      </c>
      <c r="AA322" s="3">
        <v>112.7</v>
      </c>
      <c r="AB322" s="3">
        <v>113.1</v>
      </c>
      <c r="AC322" s="3">
        <v>112.1</v>
      </c>
      <c r="AD322" s="3">
        <v>116.8</v>
      </c>
      <c r="AE322" s="3">
        <v>109.2</v>
      </c>
      <c r="AF322" s="3">
        <v>113.3</v>
      </c>
      <c r="AG322" s="3">
        <v>562.9</v>
      </c>
      <c r="AH322" s="3">
        <v>119.2</v>
      </c>
      <c r="AI322" s="10" t="str">
        <f t="shared" ref="AI322:AI373" si="5">CONCATENATE(B322," ",C322)</f>
        <v>2014 July</v>
      </c>
    </row>
    <row r="323" spans="1:35">
      <c r="A323" t="s">
        <v>30</v>
      </c>
      <c r="B323">
        <v>2014</v>
      </c>
      <c r="C323" t="s">
        <v>31</v>
      </c>
      <c r="D323" s="3">
        <v>118.9</v>
      </c>
      <c r="E323" s="3">
        <v>117.1</v>
      </c>
      <c r="F323" s="3">
        <v>120.5</v>
      </c>
      <c r="G323" s="3">
        <v>114.4</v>
      </c>
      <c r="H323" s="3">
        <v>109</v>
      </c>
      <c r="I323" s="3">
        <v>115.5</v>
      </c>
      <c r="J323" s="3">
        <v>123.9</v>
      </c>
      <c r="K323" s="3">
        <v>109.6</v>
      </c>
      <c r="L323" s="3">
        <v>101.8</v>
      </c>
      <c r="M323" s="3">
        <v>110.2</v>
      </c>
      <c r="N323" s="3">
        <v>112.4</v>
      </c>
      <c r="O323" s="3">
        <v>117.3</v>
      </c>
      <c r="P323" s="3">
        <v>116</v>
      </c>
      <c r="Q323" s="3">
        <v>1486.6000000000001</v>
      </c>
      <c r="R323" s="3">
        <v>114</v>
      </c>
      <c r="S323" s="3">
        <v>116.5</v>
      </c>
      <c r="T323" s="3">
        <v>114.5</v>
      </c>
      <c r="U323" s="3">
        <v>116.2</v>
      </c>
      <c r="V323" s="3">
        <v>347.2</v>
      </c>
      <c r="W323" t="s">
        <v>32</v>
      </c>
      <c r="X323" s="3">
        <v>114.6</v>
      </c>
      <c r="Y323" s="3">
        <v>113</v>
      </c>
      <c r="Z323" s="3">
        <v>112.6</v>
      </c>
      <c r="AA323" s="3">
        <v>110.6</v>
      </c>
      <c r="AB323" s="3">
        <v>110.5</v>
      </c>
      <c r="AC323" s="3">
        <v>109.6</v>
      </c>
      <c r="AD323" s="3">
        <v>111.8</v>
      </c>
      <c r="AE323" s="3">
        <v>108.3</v>
      </c>
      <c r="AF323" s="3">
        <v>110.6</v>
      </c>
      <c r="AG323" s="3">
        <v>551.6</v>
      </c>
      <c r="AH323" s="3">
        <v>114.2</v>
      </c>
      <c r="AI323" s="10" t="str">
        <f t="shared" si="5"/>
        <v>2014 January</v>
      </c>
    </row>
    <row r="324" spans="1:35">
      <c r="A324" t="s">
        <v>33</v>
      </c>
      <c r="B324">
        <v>2014</v>
      </c>
      <c r="C324" t="s">
        <v>31</v>
      </c>
      <c r="D324" s="3">
        <v>121.2</v>
      </c>
      <c r="E324" s="3">
        <v>122</v>
      </c>
      <c r="F324" s="3">
        <v>129.9</v>
      </c>
      <c r="G324" s="3">
        <v>113.6</v>
      </c>
      <c r="H324" s="3">
        <v>102.9</v>
      </c>
      <c r="I324" s="3">
        <v>112.1</v>
      </c>
      <c r="J324" s="3">
        <v>118.9</v>
      </c>
      <c r="K324" s="3">
        <v>107.5</v>
      </c>
      <c r="L324" s="3">
        <v>96.9</v>
      </c>
      <c r="M324" s="3">
        <v>112.7</v>
      </c>
      <c r="N324" s="3">
        <v>112.1</v>
      </c>
      <c r="O324" s="3">
        <v>119</v>
      </c>
      <c r="P324" s="3">
        <v>115.5</v>
      </c>
      <c r="Q324" s="3">
        <v>1484.3</v>
      </c>
      <c r="R324" s="3">
        <v>115.7</v>
      </c>
      <c r="S324" s="3">
        <v>114.8</v>
      </c>
      <c r="T324" s="3">
        <v>111.3</v>
      </c>
      <c r="U324" s="3">
        <v>114.3</v>
      </c>
      <c r="V324" s="3">
        <v>340.4</v>
      </c>
      <c r="W324">
        <v>111.6</v>
      </c>
      <c r="X324" s="3">
        <v>111.6</v>
      </c>
      <c r="Y324" s="3">
        <v>111</v>
      </c>
      <c r="Z324" s="3">
        <v>111.9</v>
      </c>
      <c r="AA324" s="3">
        <v>109.7</v>
      </c>
      <c r="AB324" s="3">
        <v>110.8</v>
      </c>
      <c r="AC324" s="3">
        <v>109.8</v>
      </c>
      <c r="AD324" s="3">
        <v>111.5</v>
      </c>
      <c r="AE324" s="3">
        <v>108</v>
      </c>
      <c r="AF324" s="3">
        <v>110.5</v>
      </c>
      <c r="AG324" s="3">
        <v>551</v>
      </c>
      <c r="AH324" s="3">
        <v>112.9</v>
      </c>
      <c r="AI324" s="10" t="str">
        <f t="shared" si="5"/>
        <v>2014 January</v>
      </c>
    </row>
    <row r="325" spans="1:35">
      <c r="A325" t="s">
        <v>34</v>
      </c>
      <c r="B325">
        <v>2014</v>
      </c>
      <c r="C325" t="s">
        <v>31</v>
      </c>
      <c r="D325" s="3">
        <v>119.6</v>
      </c>
      <c r="E325" s="3">
        <v>118.8</v>
      </c>
      <c r="F325" s="3">
        <v>124.1</v>
      </c>
      <c r="G325" s="3">
        <v>114.1</v>
      </c>
      <c r="H325" s="3">
        <v>106.8</v>
      </c>
      <c r="I325" s="3">
        <v>113.9</v>
      </c>
      <c r="J325" s="3">
        <v>122.2</v>
      </c>
      <c r="K325" s="3">
        <v>108.9</v>
      </c>
      <c r="L325" s="3">
        <v>100.2</v>
      </c>
      <c r="M325" s="3">
        <v>111</v>
      </c>
      <c r="N325" s="3">
        <v>112.3</v>
      </c>
      <c r="O325" s="3">
        <v>118.1</v>
      </c>
      <c r="P325" s="3">
        <v>115.8</v>
      </c>
      <c r="Q325" s="3">
        <v>1485.7999999999997</v>
      </c>
      <c r="R325" s="3">
        <v>114.5</v>
      </c>
      <c r="S325" s="3">
        <v>115.8</v>
      </c>
      <c r="T325" s="3">
        <v>113.2</v>
      </c>
      <c r="U325" s="3">
        <v>115.4</v>
      </c>
      <c r="V325" s="3">
        <v>344.4</v>
      </c>
      <c r="W325">
        <v>111.6</v>
      </c>
      <c r="X325" s="3">
        <v>111.6</v>
      </c>
      <c r="Y325" s="3">
        <v>112.2</v>
      </c>
      <c r="Z325" s="3">
        <v>112.3</v>
      </c>
      <c r="AA325" s="3">
        <v>110.3</v>
      </c>
      <c r="AB325" s="3">
        <v>110.7</v>
      </c>
      <c r="AC325" s="3">
        <v>109.7</v>
      </c>
      <c r="AD325" s="3">
        <v>111.6</v>
      </c>
      <c r="AE325" s="3">
        <v>108.2</v>
      </c>
      <c r="AF325" s="3">
        <v>110.6</v>
      </c>
      <c r="AG325" s="3">
        <v>551.5</v>
      </c>
      <c r="AH325" s="3">
        <v>113.6</v>
      </c>
      <c r="AI325" s="10" t="str">
        <f t="shared" si="5"/>
        <v>2014 January</v>
      </c>
    </row>
    <row r="326" spans="1:35">
      <c r="A326" t="s">
        <v>30</v>
      </c>
      <c r="B326">
        <v>2014</v>
      </c>
      <c r="C326" t="s">
        <v>35</v>
      </c>
      <c r="D326" s="3">
        <v>119.4</v>
      </c>
      <c r="E326" s="3">
        <v>117.7</v>
      </c>
      <c r="F326" s="3">
        <v>121.2</v>
      </c>
      <c r="G326" s="3">
        <v>115</v>
      </c>
      <c r="H326" s="3">
        <v>109</v>
      </c>
      <c r="I326" s="3">
        <v>116.6</v>
      </c>
      <c r="J326" s="3">
        <v>116</v>
      </c>
      <c r="K326" s="3">
        <v>109.8</v>
      </c>
      <c r="L326" s="3">
        <v>101.1</v>
      </c>
      <c r="M326" s="3">
        <v>110.4</v>
      </c>
      <c r="N326" s="3">
        <v>112.9</v>
      </c>
      <c r="O326" s="3">
        <v>117.8</v>
      </c>
      <c r="P326" s="3">
        <v>115.3</v>
      </c>
      <c r="Q326" s="3">
        <v>1482.2</v>
      </c>
      <c r="R326" s="3">
        <v>114.2</v>
      </c>
      <c r="S326" s="3">
        <v>117.1</v>
      </c>
      <c r="T326" s="3">
        <v>114.5</v>
      </c>
      <c r="U326" s="3">
        <v>116.7</v>
      </c>
      <c r="V326" s="3">
        <v>348.3</v>
      </c>
      <c r="W326" t="s">
        <v>32</v>
      </c>
      <c r="X326" s="3">
        <v>114.6</v>
      </c>
      <c r="Y326" s="3">
        <v>113.2</v>
      </c>
      <c r="Z326" s="3">
        <v>112.9</v>
      </c>
      <c r="AA326" s="3">
        <v>110.9</v>
      </c>
      <c r="AB326" s="3">
        <v>110.8</v>
      </c>
      <c r="AC326" s="3">
        <v>109.9</v>
      </c>
      <c r="AD326" s="3">
        <v>112</v>
      </c>
      <c r="AE326" s="3">
        <v>108.7</v>
      </c>
      <c r="AF326" s="3">
        <v>110.9</v>
      </c>
      <c r="AG326" s="3">
        <v>553.20000000000005</v>
      </c>
      <c r="AH326" s="3">
        <v>114</v>
      </c>
      <c r="AI326" s="10" t="str">
        <f t="shared" si="5"/>
        <v>2014 February</v>
      </c>
    </row>
    <row r="327" spans="1:35">
      <c r="A327" t="s">
        <v>33</v>
      </c>
      <c r="B327">
        <v>2014</v>
      </c>
      <c r="C327" t="s">
        <v>35</v>
      </c>
      <c r="D327" s="3">
        <v>121.9</v>
      </c>
      <c r="E327" s="3">
        <v>122</v>
      </c>
      <c r="F327" s="3">
        <v>124.5</v>
      </c>
      <c r="G327" s="3">
        <v>115.2</v>
      </c>
      <c r="H327" s="3">
        <v>102.5</v>
      </c>
      <c r="I327" s="3">
        <v>114.1</v>
      </c>
      <c r="J327" s="3">
        <v>111.5</v>
      </c>
      <c r="K327" s="3">
        <v>108.2</v>
      </c>
      <c r="L327" s="3">
        <v>95.4</v>
      </c>
      <c r="M327" s="3">
        <v>113.5</v>
      </c>
      <c r="N327" s="3">
        <v>112.1</v>
      </c>
      <c r="O327" s="3">
        <v>119.9</v>
      </c>
      <c r="P327" s="3">
        <v>115.2</v>
      </c>
      <c r="Q327" s="3">
        <v>1476</v>
      </c>
      <c r="R327" s="3">
        <v>116.2</v>
      </c>
      <c r="S327" s="3">
        <v>115.3</v>
      </c>
      <c r="T327" s="3">
        <v>111.7</v>
      </c>
      <c r="U327" s="3">
        <v>114.7</v>
      </c>
      <c r="V327" s="3">
        <v>341.7</v>
      </c>
      <c r="W327">
        <v>112.5</v>
      </c>
      <c r="X327" s="3">
        <v>112.5</v>
      </c>
      <c r="Y327" s="3">
        <v>111.1</v>
      </c>
      <c r="Z327" s="3">
        <v>112.6</v>
      </c>
      <c r="AA327" s="3">
        <v>110.4</v>
      </c>
      <c r="AB327" s="3">
        <v>111.3</v>
      </c>
      <c r="AC327" s="3">
        <v>110.3</v>
      </c>
      <c r="AD327" s="3">
        <v>111.6</v>
      </c>
      <c r="AE327" s="3">
        <v>108.7</v>
      </c>
      <c r="AF327" s="3">
        <v>111</v>
      </c>
      <c r="AG327" s="3">
        <v>553.9</v>
      </c>
      <c r="AH327" s="3">
        <v>113.1</v>
      </c>
      <c r="AI327" s="10" t="str">
        <f t="shared" si="5"/>
        <v>2014 February</v>
      </c>
    </row>
    <row r="328" spans="1:35">
      <c r="A328" t="s">
        <v>34</v>
      </c>
      <c r="B328">
        <v>2014</v>
      </c>
      <c r="C328" t="s">
        <v>35</v>
      </c>
      <c r="D328" s="3">
        <v>120.2</v>
      </c>
      <c r="E328" s="3">
        <v>119.2</v>
      </c>
      <c r="F328" s="3">
        <v>122.5</v>
      </c>
      <c r="G328" s="3">
        <v>115.1</v>
      </c>
      <c r="H328" s="3">
        <v>106.6</v>
      </c>
      <c r="I328" s="3">
        <v>115.4</v>
      </c>
      <c r="J328" s="3">
        <v>114.5</v>
      </c>
      <c r="K328" s="3">
        <v>109.3</v>
      </c>
      <c r="L328" s="3">
        <v>99.2</v>
      </c>
      <c r="M328" s="3">
        <v>111.4</v>
      </c>
      <c r="N328" s="3">
        <v>112.6</v>
      </c>
      <c r="O328" s="3">
        <v>118.8</v>
      </c>
      <c r="P328" s="3">
        <v>115.3</v>
      </c>
      <c r="Q328" s="3">
        <v>1480.1</v>
      </c>
      <c r="R328" s="3">
        <v>114.7</v>
      </c>
      <c r="S328" s="3">
        <v>116.4</v>
      </c>
      <c r="T328" s="3">
        <v>113.3</v>
      </c>
      <c r="U328" s="3">
        <v>115.9</v>
      </c>
      <c r="V328" s="3">
        <v>345.6</v>
      </c>
      <c r="W328">
        <v>112.5</v>
      </c>
      <c r="X328" s="3">
        <v>112.5</v>
      </c>
      <c r="Y328" s="3">
        <v>112.4</v>
      </c>
      <c r="Z328" s="3">
        <v>112.8</v>
      </c>
      <c r="AA328" s="3">
        <v>110.7</v>
      </c>
      <c r="AB328" s="3">
        <v>111.1</v>
      </c>
      <c r="AC328" s="3">
        <v>110.1</v>
      </c>
      <c r="AD328" s="3">
        <v>111.8</v>
      </c>
      <c r="AE328" s="3">
        <v>108.7</v>
      </c>
      <c r="AF328" s="3">
        <v>110.9</v>
      </c>
      <c r="AG328" s="3">
        <v>553.6</v>
      </c>
      <c r="AH328" s="3">
        <v>113.6</v>
      </c>
      <c r="AI328" s="10" t="str">
        <f t="shared" si="5"/>
        <v>2014 February</v>
      </c>
    </row>
    <row r="329" spans="1:35">
      <c r="A329" t="s">
        <v>30</v>
      </c>
      <c r="B329">
        <v>2014</v>
      </c>
      <c r="C329" t="s">
        <v>46</v>
      </c>
      <c r="D329" s="3">
        <v>122.4</v>
      </c>
      <c r="E329" s="3">
        <v>122.4</v>
      </c>
      <c r="F329" s="3">
        <v>121.8</v>
      </c>
      <c r="G329" s="3">
        <v>124.2</v>
      </c>
      <c r="H329" s="3">
        <v>110.2</v>
      </c>
      <c r="I329" s="3">
        <v>128.6</v>
      </c>
      <c r="J329" s="3">
        <v>140.30000000000001</v>
      </c>
      <c r="K329" s="3">
        <v>116.3</v>
      </c>
      <c r="L329" s="3">
        <v>102</v>
      </c>
      <c r="M329" s="3">
        <v>116</v>
      </c>
      <c r="N329" s="3">
        <v>117.3</v>
      </c>
      <c r="O329" s="3">
        <v>124.8</v>
      </c>
      <c r="P329" s="3">
        <v>123.3</v>
      </c>
      <c r="Q329" s="3">
        <v>1569.6</v>
      </c>
      <c r="R329" s="3">
        <v>121.7</v>
      </c>
      <c r="S329" s="3">
        <v>123.8</v>
      </c>
      <c r="T329" s="3">
        <v>120.6</v>
      </c>
      <c r="U329" s="3">
        <v>123.3</v>
      </c>
      <c r="V329" s="3">
        <v>367.7</v>
      </c>
      <c r="W329" t="s">
        <v>32</v>
      </c>
      <c r="X329" s="3">
        <v>114.6</v>
      </c>
      <c r="Y329" s="3">
        <v>117.4</v>
      </c>
      <c r="Z329" s="3">
        <v>118.2</v>
      </c>
      <c r="AA329" s="3">
        <v>116.2</v>
      </c>
      <c r="AB329" s="3">
        <v>111.5</v>
      </c>
      <c r="AC329" s="3">
        <v>113.3</v>
      </c>
      <c r="AD329" s="3">
        <v>117.7</v>
      </c>
      <c r="AE329" s="3">
        <v>109.4</v>
      </c>
      <c r="AF329" s="3">
        <v>114.2</v>
      </c>
      <c r="AG329" s="3">
        <v>566.6</v>
      </c>
      <c r="AH329" s="3">
        <v>120.3</v>
      </c>
      <c r="AI329" s="10" t="str">
        <f t="shared" si="5"/>
        <v>2014 December</v>
      </c>
    </row>
    <row r="330" spans="1:35">
      <c r="A330" t="s">
        <v>33</v>
      </c>
      <c r="B330">
        <v>2014</v>
      </c>
      <c r="C330" t="s">
        <v>46</v>
      </c>
      <c r="D330" s="3">
        <v>124</v>
      </c>
      <c r="E330" s="3">
        <v>124.7</v>
      </c>
      <c r="F330" s="3">
        <v>126.3</v>
      </c>
      <c r="G330" s="3">
        <v>124.9</v>
      </c>
      <c r="H330" s="3">
        <v>103</v>
      </c>
      <c r="I330" s="3">
        <v>122.3</v>
      </c>
      <c r="J330" s="3">
        <v>141</v>
      </c>
      <c r="K330" s="3">
        <v>120.1</v>
      </c>
      <c r="L330" s="3">
        <v>97.8</v>
      </c>
      <c r="M330" s="3">
        <v>125.4</v>
      </c>
      <c r="N330" s="3">
        <v>116.1</v>
      </c>
      <c r="O330" s="3">
        <v>127.6</v>
      </c>
      <c r="P330" s="3">
        <v>124</v>
      </c>
      <c r="Q330" s="3">
        <v>1577.1999999999998</v>
      </c>
      <c r="R330" s="3">
        <v>126.4</v>
      </c>
      <c r="S330" s="3">
        <v>120.7</v>
      </c>
      <c r="T330" s="3">
        <v>115.8</v>
      </c>
      <c r="U330" s="3">
        <v>120</v>
      </c>
      <c r="V330" s="3">
        <v>356.5</v>
      </c>
      <c r="W330">
        <v>116.5</v>
      </c>
      <c r="X330" s="3">
        <v>116.5</v>
      </c>
      <c r="Y330" s="3">
        <v>113</v>
      </c>
      <c r="Z330" s="3">
        <v>116.8</v>
      </c>
      <c r="AA330" s="3">
        <v>113.2</v>
      </c>
      <c r="AB330" s="3">
        <v>108.8</v>
      </c>
      <c r="AC330" s="3">
        <v>114.3</v>
      </c>
      <c r="AD330" s="3">
        <v>120.7</v>
      </c>
      <c r="AE330" s="3">
        <v>110.4</v>
      </c>
      <c r="AF330" s="3">
        <v>113.4</v>
      </c>
      <c r="AG330" s="3">
        <v>563.69999999999993</v>
      </c>
      <c r="AH330" s="3">
        <v>118.4</v>
      </c>
      <c r="AI330" s="10" t="str">
        <f t="shared" si="5"/>
        <v>2014 December</v>
      </c>
    </row>
    <row r="331" spans="1:35">
      <c r="A331" t="s">
        <v>34</v>
      </c>
      <c r="B331">
        <v>2014</v>
      </c>
      <c r="C331" t="s">
        <v>46</v>
      </c>
      <c r="D331" s="3">
        <v>122.9</v>
      </c>
      <c r="E331" s="3">
        <v>123.2</v>
      </c>
      <c r="F331" s="3">
        <v>123.5</v>
      </c>
      <c r="G331" s="3">
        <v>124.5</v>
      </c>
      <c r="H331" s="3">
        <v>107.6</v>
      </c>
      <c r="I331" s="3">
        <v>125.7</v>
      </c>
      <c r="J331" s="3">
        <v>140.5</v>
      </c>
      <c r="K331" s="3">
        <v>117.6</v>
      </c>
      <c r="L331" s="3">
        <v>100.6</v>
      </c>
      <c r="M331" s="3">
        <v>119.1</v>
      </c>
      <c r="N331" s="3">
        <v>116.8</v>
      </c>
      <c r="O331" s="3">
        <v>126.1</v>
      </c>
      <c r="P331" s="3">
        <v>123.6</v>
      </c>
      <c r="Q331" s="3">
        <v>1571.6999999999998</v>
      </c>
      <c r="R331" s="3">
        <v>123</v>
      </c>
      <c r="S331" s="3">
        <v>122.6</v>
      </c>
      <c r="T331" s="3">
        <v>118.6</v>
      </c>
      <c r="U331" s="3">
        <v>122</v>
      </c>
      <c r="V331" s="3">
        <v>363.2</v>
      </c>
      <c r="W331">
        <v>116.5</v>
      </c>
      <c r="X331" s="3">
        <v>116.5</v>
      </c>
      <c r="Y331" s="3">
        <v>115.7</v>
      </c>
      <c r="Z331" s="3">
        <v>117.5</v>
      </c>
      <c r="AA331" s="3">
        <v>115.1</v>
      </c>
      <c r="AB331" s="3">
        <v>110.1</v>
      </c>
      <c r="AC331" s="3">
        <v>113.9</v>
      </c>
      <c r="AD331" s="3">
        <v>119.5</v>
      </c>
      <c r="AE331" s="3">
        <v>109.8</v>
      </c>
      <c r="AF331" s="3">
        <v>113.8</v>
      </c>
      <c r="AG331" s="3">
        <v>565.1</v>
      </c>
      <c r="AH331" s="3">
        <v>119.4</v>
      </c>
      <c r="AI331" s="10" t="str">
        <f t="shared" si="5"/>
        <v>2014 December</v>
      </c>
    </row>
    <row r="332" spans="1:35">
      <c r="A332" t="s">
        <v>30</v>
      </c>
      <c r="B332">
        <v>2014</v>
      </c>
      <c r="C332" t="s">
        <v>41</v>
      </c>
      <c r="D332" s="3">
        <v>121.8</v>
      </c>
      <c r="E332" s="3">
        <v>122.8</v>
      </c>
      <c r="F332" s="3">
        <v>117.8</v>
      </c>
      <c r="G332" s="3">
        <v>121.9</v>
      </c>
      <c r="H332" s="3">
        <v>110.6</v>
      </c>
      <c r="I332" s="3">
        <v>129.69999999999999</v>
      </c>
      <c r="J332" s="3">
        <v>161.1</v>
      </c>
      <c r="K332" s="3">
        <v>114.1</v>
      </c>
      <c r="L332" s="3">
        <v>105.1</v>
      </c>
      <c r="M332" s="3">
        <v>114.6</v>
      </c>
      <c r="N332" s="3">
        <v>115.8</v>
      </c>
      <c r="O332" s="3">
        <v>121.7</v>
      </c>
      <c r="P332" s="3">
        <v>125.3</v>
      </c>
      <c r="Q332" s="3">
        <v>1582.2999999999997</v>
      </c>
      <c r="R332" s="3">
        <v>118.8</v>
      </c>
      <c r="S332" s="3">
        <v>120.9</v>
      </c>
      <c r="T332" s="3">
        <v>118.8</v>
      </c>
      <c r="U332" s="3">
        <v>120.7</v>
      </c>
      <c r="V332" s="3">
        <v>360.4</v>
      </c>
      <c r="W332" t="s">
        <v>32</v>
      </c>
      <c r="X332" s="3">
        <v>114.6</v>
      </c>
      <c r="Y332" s="3">
        <v>115.4</v>
      </c>
      <c r="Z332" s="3">
        <v>115.9</v>
      </c>
      <c r="AA332" s="3">
        <v>114</v>
      </c>
      <c r="AB332" s="3">
        <v>113.2</v>
      </c>
      <c r="AC332" s="3">
        <v>112.2</v>
      </c>
      <c r="AD332" s="3">
        <v>116.2</v>
      </c>
      <c r="AE332" s="3">
        <v>109.4</v>
      </c>
      <c r="AF332" s="3">
        <v>113.5</v>
      </c>
      <c r="AG332" s="3">
        <v>564.20000000000005</v>
      </c>
      <c r="AH332" s="3">
        <v>120.7</v>
      </c>
      <c r="AI332" s="10" t="str">
        <f t="shared" si="5"/>
        <v>2014 August</v>
      </c>
    </row>
    <row r="333" spans="1:35">
      <c r="A333" t="s">
        <v>33</v>
      </c>
      <c r="B333">
        <v>2014</v>
      </c>
      <c r="C333" t="s">
        <v>41</v>
      </c>
      <c r="D333" s="3">
        <v>124.8</v>
      </c>
      <c r="E333" s="3">
        <v>127.3</v>
      </c>
      <c r="F333" s="3">
        <v>116.5</v>
      </c>
      <c r="G333" s="3">
        <v>122.2</v>
      </c>
      <c r="H333" s="3">
        <v>103.6</v>
      </c>
      <c r="I333" s="3">
        <v>132.69999999999999</v>
      </c>
      <c r="J333" s="3">
        <v>181.9</v>
      </c>
      <c r="K333" s="3">
        <v>115.2</v>
      </c>
      <c r="L333" s="3">
        <v>102.7</v>
      </c>
      <c r="M333" s="3">
        <v>122.1</v>
      </c>
      <c r="N333" s="3">
        <v>114.4</v>
      </c>
      <c r="O333" s="3">
        <v>124.7</v>
      </c>
      <c r="P333" s="3">
        <v>128.9</v>
      </c>
      <c r="Q333" s="3">
        <v>1617</v>
      </c>
      <c r="R333" s="3">
        <v>123</v>
      </c>
      <c r="S333" s="3">
        <v>118.6</v>
      </c>
      <c r="T333" s="3">
        <v>114.1</v>
      </c>
      <c r="U333" s="3">
        <v>117.9</v>
      </c>
      <c r="V333" s="3">
        <v>350.6</v>
      </c>
      <c r="W333">
        <v>115.5</v>
      </c>
      <c r="X333" s="3">
        <v>115.5</v>
      </c>
      <c r="Y333" s="3">
        <v>111.8</v>
      </c>
      <c r="Z333" s="3">
        <v>115.3</v>
      </c>
      <c r="AA333" s="3">
        <v>112.2</v>
      </c>
      <c r="AB333" s="3">
        <v>112.5</v>
      </c>
      <c r="AC333" s="3">
        <v>112.9</v>
      </c>
      <c r="AD333" s="3">
        <v>119.2</v>
      </c>
      <c r="AE333" s="3">
        <v>110.5</v>
      </c>
      <c r="AF333" s="3">
        <v>113.9</v>
      </c>
      <c r="AG333" s="3">
        <v>565.1</v>
      </c>
      <c r="AH333" s="3">
        <v>119.9</v>
      </c>
      <c r="AI333" s="10" t="str">
        <f t="shared" si="5"/>
        <v>2014 August</v>
      </c>
    </row>
    <row r="334" spans="1:35">
      <c r="A334" t="s">
        <v>34</v>
      </c>
      <c r="B334">
        <v>2014</v>
      </c>
      <c r="C334" t="s">
        <v>41</v>
      </c>
      <c r="D334" s="3">
        <v>122.7</v>
      </c>
      <c r="E334" s="3">
        <v>124.4</v>
      </c>
      <c r="F334" s="3">
        <v>117.3</v>
      </c>
      <c r="G334" s="3">
        <v>122</v>
      </c>
      <c r="H334" s="3">
        <v>108</v>
      </c>
      <c r="I334" s="3">
        <v>131.1</v>
      </c>
      <c r="J334" s="3">
        <v>168.2</v>
      </c>
      <c r="K334" s="3">
        <v>114.5</v>
      </c>
      <c r="L334" s="3">
        <v>104.3</v>
      </c>
      <c r="M334" s="3">
        <v>117.1</v>
      </c>
      <c r="N334" s="3">
        <v>115.2</v>
      </c>
      <c r="O334" s="3">
        <v>123.1</v>
      </c>
      <c r="P334" s="3">
        <v>126.6</v>
      </c>
      <c r="Q334" s="3">
        <v>1594.4999999999998</v>
      </c>
      <c r="R334" s="3">
        <v>119.9</v>
      </c>
      <c r="S334" s="3">
        <v>120</v>
      </c>
      <c r="T334" s="3">
        <v>116.8</v>
      </c>
      <c r="U334" s="3">
        <v>119.6</v>
      </c>
      <c r="V334" s="3">
        <v>356.4</v>
      </c>
      <c r="W334">
        <v>115.5</v>
      </c>
      <c r="X334" s="3">
        <v>115.5</v>
      </c>
      <c r="Y334" s="3">
        <v>114</v>
      </c>
      <c r="Z334" s="3">
        <v>115.6</v>
      </c>
      <c r="AA334" s="3">
        <v>113.3</v>
      </c>
      <c r="AB334" s="3">
        <v>112.8</v>
      </c>
      <c r="AC334" s="3">
        <v>112.6</v>
      </c>
      <c r="AD334" s="3">
        <v>118</v>
      </c>
      <c r="AE334" s="3">
        <v>109.9</v>
      </c>
      <c r="AF334" s="3">
        <v>113.7</v>
      </c>
      <c r="AG334" s="3">
        <v>564.6</v>
      </c>
      <c r="AH334" s="3">
        <v>120.3</v>
      </c>
      <c r="AI334" s="10" t="str">
        <f t="shared" si="5"/>
        <v>2014 August</v>
      </c>
    </row>
    <row r="335" spans="1:35">
      <c r="A335" t="s">
        <v>30</v>
      </c>
      <c r="B335">
        <v>2014</v>
      </c>
      <c r="C335" t="s">
        <v>37</v>
      </c>
      <c r="D335" s="3">
        <v>120.2</v>
      </c>
      <c r="E335" s="3">
        <v>118.9</v>
      </c>
      <c r="F335" s="3">
        <v>118.1</v>
      </c>
      <c r="G335" s="3">
        <v>117</v>
      </c>
      <c r="H335" s="3">
        <v>109.7</v>
      </c>
      <c r="I335" s="3">
        <v>125.5</v>
      </c>
      <c r="J335" s="3">
        <v>120.5</v>
      </c>
      <c r="K335" s="3">
        <v>111</v>
      </c>
      <c r="L335" s="3">
        <v>102.6</v>
      </c>
      <c r="M335" s="3">
        <v>111.2</v>
      </c>
      <c r="N335" s="3">
        <v>113.5</v>
      </c>
      <c r="O335" s="3">
        <v>118.7</v>
      </c>
      <c r="P335" s="3">
        <v>117.2</v>
      </c>
      <c r="Q335" s="3">
        <v>1504.1000000000001</v>
      </c>
      <c r="R335" s="3">
        <v>115.4</v>
      </c>
      <c r="S335" s="3">
        <v>118.1</v>
      </c>
      <c r="T335" s="3">
        <v>116.1</v>
      </c>
      <c r="U335" s="3">
        <v>117.8</v>
      </c>
      <c r="V335" s="3">
        <v>352</v>
      </c>
      <c r="W335" t="s">
        <v>32</v>
      </c>
      <c r="X335" s="3">
        <v>114.6</v>
      </c>
      <c r="Y335" s="3">
        <v>113.4</v>
      </c>
      <c r="Z335" s="3">
        <v>113.7</v>
      </c>
      <c r="AA335" s="3">
        <v>111.8</v>
      </c>
      <c r="AB335" s="3">
        <v>111.2</v>
      </c>
      <c r="AC335" s="3">
        <v>110.5</v>
      </c>
      <c r="AD335" s="3">
        <v>113</v>
      </c>
      <c r="AE335" s="3">
        <v>108.9</v>
      </c>
      <c r="AF335" s="3">
        <v>111.5</v>
      </c>
      <c r="AG335" s="3">
        <v>555.79999999999995</v>
      </c>
      <c r="AH335" s="3">
        <v>115.4</v>
      </c>
      <c r="AI335" s="10" t="str">
        <f t="shared" si="5"/>
        <v>2014 April</v>
      </c>
    </row>
    <row r="336" spans="1:35">
      <c r="A336" t="s">
        <v>33</v>
      </c>
      <c r="B336">
        <v>2014</v>
      </c>
      <c r="C336" t="s">
        <v>37</v>
      </c>
      <c r="D336" s="3">
        <v>122.5</v>
      </c>
      <c r="E336" s="3">
        <v>121.7</v>
      </c>
      <c r="F336" s="3">
        <v>113.3</v>
      </c>
      <c r="G336" s="3">
        <v>117</v>
      </c>
      <c r="H336" s="3">
        <v>103.1</v>
      </c>
      <c r="I336" s="3">
        <v>126.7</v>
      </c>
      <c r="J336" s="3">
        <v>121.2</v>
      </c>
      <c r="K336" s="3">
        <v>111</v>
      </c>
      <c r="L336" s="3">
        <v>100.3</v>
      </c>
      <c r="M336" s="3">
        <v>115.3</v>
      </c>
      <c r="N336" s="3">
        <v>112.7</v>
      </c>
      <c r="O336" s="3">
        <v>121</v>
      </c>
      <c r="P336" s="3">
        <v>118.2</v>
      </c>
      <c r="Q336" s="3">
        <v>1504.0000000000002</v>
      </c>
      <c r="R336" s="3">
        <v>117.6</v>
      </c>
      <c r="S336" s="3">
        <v>116.3</v>
      </c>
      <c r="T336" s="3">
        <v>112.5</v>
      </c>
      <c r="U336" s="3">
        <v>115.7</v>
      </c>
      <c r="V336" s="3">
        <v>344.5</v>
      </c>
      <c r="W336">
        <v>113.9</v>
      </c>
      <c r="X336" s="3">
        <v>113.9</v>
      </c>
      <c r="Y336" s="3">
        <v>110.9</v>
      </c>
      <c r="Z336" s="3">
        <v>113.4</v>
      </c>
      <c r="AA336" s="3">
        <v>111</v>
      </c>
      <c r="AB336" s="3">
        <v>111.2</v>
      </c>
      <c r="AC336" s="3">
        <v>111.2</v>
      </c>
      <c r="AD336" s="3">
        <v>112.5</v>
      </c>
      <c r="AE336" s="3">
        <v>109.1</v>
      </c>
      <c r="AF336" s="3">
        <v>111.4</v>
      </c>
      <c r="AG336" s="3">
        <v>556.29999999999995</v>
      </c>
      <c r="AH336" s="3">
        <v>114.7</v>
      </c>
      <c r="AI336" s="10" t="str">
        <f t="shared" si="5"/>
        <v>2014 April</v>
      </c>
    </row>
    <row r="337" spans="1:35">
      <c r="A337" t="s">
        <v>34</v>
      </c>
      <c r="B337">
        <v>2014</v>
      </c>
      <c r="C337" t="s">
        <v>37</v>
      </c>
      <c r="D337" s="3">
        <v>120.9</v>
      </c>
      <c r="E337" s="3">
        <v>119.9</v>
      </c>
      <c r="F337" s="3">
        <v>116.2</v>
      </c>
      <c r="G337" s="3">
        <v>117</v>
      </c>
      <c r="H337" s="3">
        <v>107.3</v>
      </c>
      <c r="I337" s="3">
        <v>126.1</v>
      </c>
      <c r="J337" s="3">
        <v>120.7</v>
      </c>
      <c r="K337" s="3">
        <v>111</v>
      </c>
      <c r="L337" s="3">
        <v>101.8</v>
      </c>
      <c r="M337" s="3">
        <v>112.6</v>
      </c>
      <c r="N337" s="3">
        <v>113.2</v>
      </c>
      <c r="O337" s="3">
        <v>119.8</v>
      </c>
      <c r="P337" s="3">
        <v>117.6</v>
      </c>
      <c r="Q337" s="3">
        <v>1504.1</v>
      </c>
      <c r="R337" s="3">
        <v>116</v>
      </c>
      <c r="S337" s="3">
        <v>117.4</v>
      </c>
      <c r="T337" s="3">
        <v>114.6</v>
      </c>
      <c r="U337" s="3">
        <v>117</v>
      </c>
      <c r="V337" s="3">
        <v>349</v>
      </c>
      <c r="W337">
        <v>113.9</v>
      </c>
      <c r="X337" s="3">
        <v>113.9</v>
      </c>
      <c r="Y337" s="3">
        <v>112.5</v>
      </c>
      <c r="Z337" s="3">
        <v>113.6</v>
      </c>
      <c r="AA337" s="3">
        <v>111.5</v>
      </c>
      <c r="AB337" s="3">
        <v>111.2</v>
      </c>
      <c r="AC337" s="3">
        <v>110.9</v>
      </c>
      <c r="AD337" s="3">
        <v>112.7</v>
      </c>
      <c r="AE337" s="3">
        <v>109</v>
      </c>
      <c r="AF337" s="3">
        <v>111.5</v>
      </c>
      <c r="AG337" s="3">
        <v>556.20000000000005</v>
      </c>
      <c r="AH337" s="3">
        <v>115.1</v>
      </c>
      <c r="AI337" s="10" t="str">
        <f t="shared" si="5"/>
        <v>2014 April</v>
      </c>
    </row>
    <row r="338" spans="1:35">
      <c r="A338" t="s">
        <v>30</v>
      </c>
      <c r="B338">
        <v>2013</v>
      </c>
      <c r="C338" t="s">
        <v>42</v>
      </c>
      <c r="D338" s="3">
        <v>115.4</v>
      </c>
      <c r="E338" s="3">
        <v>115.7</v>
      </c>
      <c r="F338" s="3">
        <v>111.7</v>
      </c>
      <c r="G338" s="3">
        <v>111</v>
      </c>
      <c r="H338" s="3">
        <v>107.4</v>
      </c>
      <c r="I338" s="3">
        <v>110.9</v>
      </c>
      <c r="J338" s="3">
        <v>154</v>
      </c>
      <c r="K338" s="3">
        <v>108.1</v>
      </c>
      <c r="L338" s="3">
        <v>104.2</v>
      </c>
      <c r="M338" s="3">
        <v>107.9</v>
      </c>
      <c r="N338" s="3">
        <v>110.4</v>
      </c>
      <c r="O338" s="3">
        <v>114</v>
      </c>
      <c r="P338" s="3">
        <v>117.8</v>
      </c>
      <c r="Q338" s="3">
        <v>1488.5000000000002</v>
      </c>
      <c r="R338" s="3">
        <v>111.7</v>
      </c>
      <c r="S338" s="3">
        <v>112.7</v>
      </c>
      <c r="T338" s="3">
        <v>111.4</v>
      </c>
      <c r="U338" s="3">
        <v>112.5</v>
      </c>
      <c r="V338" s="3">
        <v>336.6</v>
      </c>
      <c r="W338" t="s">
        <v>32</v>
      </c>
      <c r="X338" s="3">
        <v>105.6</v>
      </c>
      <c r="Y338" s="3">
        <v>111.1</v>
      </c>
      <c r="Z338" s="3">
        <v>109.6</v>
      </c>
      <c r="AA338" s="3">
        <v>108.3</v>
      </c>
      <c r="AB338" s="3">
        <v>109.3</v>
      </c>
      <c r="AC338" s="3">
        <v>107.7</v>
      </c>
      <c r="AD338" s="3">
        <v>109.8</v>
      </c>
      <c r="AE338" s="3">
        <v>106.7</v>
      </c>
      <c r="AF338" s="3">
        <v>108.7</v>
      </c>
      <c r="AG338" s="3">
        <v>542</v>
      </c>
      <c r="AH338" s="3">
        <v>114.2</v>
      </c>
      <c r="AI338" s="10" t="str">
        <f t="shared" si="5"/>
        <v>2013 September</v>
      </c>
    </row>
    <row r="339" spans="1:35">
      <c r="A339" t="s">
        <v>33</v>
      </c>
      <c r="B339">
        <v>2013</v>
      </c>
      <c r="C339" t="s">
        <v>42</v>
      </c>
      <c r="D339" s="3">
        <v>118.6</v>
      </c>
      <c r="E339" s="3">
        <v>119.1</v>
      </c>
      <c r="F339" s="3">
        <v>113.2</v>
      </c>
      <c r="G339" s="3">
        <v>109.6</v>
      </c>
      <c r="H339" s="3">
        <v>101.7</v>
      </c>
      <c r="I339" s="3">
        <v>103.2</v>
      </c>
      <c r="J339" s="3">
        <v>174.3</v>
      </c>
      <c r="K339" s="3">
        <v>105.1</v>
      </c>
      <c r="L339" s="3">
        <v>100.8</v>
      </c>
      <c r="M339" s="3">
        <v>109.1</v>
      </c>
      <c r="N339" s="3">
        <v>111.1</v>
      </c>
      <c r="O339" s="3">
        <v>115.4</v>
      </c>
      <c r="P339" s="3">
        <v>119.2</v>
      </c>
      <c r="Q339" s="3">
        <v>1500.4</v>
      </c>
      <c r="R339" s="3">
        <v>112.9</v>
      </c>
      <c r="S339" s="3">
        <v>111.4</v>
      </c>
      <c r="T339" s="3">
        <v>109</v>
      </c>
      <c r="U339" s="3">
        <v>111.1</v>
      </c>
      <c r="V339" s="3">
        <v>331.5</v>
      </c>
      <c r="W339">
        <v>109.7</v>
      </c>
      <c r="X339" s="3">
        <v>109.7</v>
      </c>
      <c r="Y339" s="3">
        <v>109.5</v>
      </c>
      <c r="Z339" s="3">
        <v>109.6</v>
      </c>
      <c r="AA339" s="3">
        <v>107.9</v>
      </c>
      <c r="AB339" s="3">
        <v>110.4</v>
      </c>
      <c r="AC339" s="3">
        <v>107.4</v>
      </c>
      <c r="AD339" s="3">
        <v>111.2</v>
      </c>
      <c r="AE339" s="3">
        <v>106.9</v>
      </c>
      <c r="AF339" s="3">
        <v>109.4</v>
      </c>
      <c r="AG339" s="3">
        <v>543.69999999999993</v>
      </c>
      <c r="AH339" s="3">
        <v>113.2</v>
      </c>
      <c r="AI339" s="10" t="str">
        <f t="shared" si="5"/>
        <v>2013 September</v>
      </c>
    </row>
    <row r="340" spans="1:35">
      <c r="A340" t="s">
        <v>34</v>
      </c>
      <c r="B340">
        <v>2013</v>
      </c>
      <c r="C340" t="s">
        <v>42</v>
      </c>
      <c r="D340" s="3">
        <v>116.4</v>
      </c>
      <c r="E340" s="3">
        <v>116.9</v>
      </c>
      <c r="F340" s="3">
        <v>112.3</v>
      </c>
      <c r="G340" s="3">
        <v>110.5</v>
      </c>
      <c r="H340" s="3">
        <v>105.3</v>
      </c>
      <c r="I340" s="3">
        <v>107.3</v>
      </c>
      <c r="J340" s="3">
        <v>160.9</v>
      </c>
      <c r="K340" s="3">
        <v>107.1</v>
      </c>
      <c r="L340" s="3">
        <v>103.1</v>
      </c>
      <c r="M340" s="3">
        <v>108.3</v>
      </c>
      <c r="N340" s="3">
        <v>110.7</v>
      </c>
      <c r="O340" s="3">
        <v>114.6</v>
      </c>
      <c r="P340" s="3">
        <v>118.3</v>
      </c>
      <c r="Q340" s="3">
        <v>1491.6999999999998</v>
      </c>
      <c r="R340" s="3">
        <v>112</v>
      </c>
      <c r="S340" s="3">
        <v>112.2</v>
      </c>
      <c r="T340" s="3">
        <v>110.4</v>
      </c>
      <c r="U340" s="3">
        <v>111.9</v>
      </c>
      <c r="V340" s="3">
        <v>334.5</v>
      </c>
      <c r="W340">
        <v>109.7</v>
      </c>
      <c r="X340" s="3">
        <v>109.7</v>
      </c>
      <c r="Y340" s="3">
        <v>110.5</v>
      </c>
      <c r="Z340" s="3">
        <v>109.6</v>
      </c>
      <c r="AA340" s="3">
        <v>108.1</v>
      </c>
      <c r="AB340" s="3">
        <v>109.9</v>
      </c>
      <c r="AC340" s="3">
        <v>107.5</v>
      </c>
      <c r="AD340" s="3">
        <v>110.6</v>
      </c>
      <c r="AE340" s="3">
        <v>106.8</v>
      </c>
      <c r="AF340" s="3">
        <v>109</v>
      </c>
      <c r="AG340" s="3">
        <v>542.79999999999995</v>
      </c>
      <c r="AH340" s="3">
        <v>113.7</v>
      </c>
      <c r="AI340" s="10" t="str">
        <f t="shared" si="5"/>
        <v>2013 September</v>
      </c>
    </row>
    <row r="341" spans="1:35">
      <c r="A341" t="s">
        <v>30</v>
      </c>
      <c r="B341">
        <v>2013</v>
      </c>
      <c r="C341" t="s">
        <v>43</v>
      </c>
      <c r="D341" s="3">
        <v>116.3</v>
      </c>
      <c r="E341" s="3">
        <v>115.4</v>
      </c>
      <c r="F341" s="3">
        <v>112.6</v>
      </c>
      <c r="G341" s="3">
        <v>111.7</v>
      </c>
      <c r="H341" s="3">
        <v>107.7</v>
      </c>
      <c r="I341" s="3">
        <v>113.2</v>
      </c>
      <c r="J341" s="3">
        <v>164.9</v>
      </c>
      <c r="K341" s="3">
        <v>108.3</v>
      </c>
      <c r="L341" s="3">
        <v>103.9</v>
      </c>
      <c r="M341" s="3">
        <v>108.2</v>
      </c>
      <c r="N341" s="3">
        <v>111.1</v>
      </c>
      <c r="O341" s="3">
        <v>114.9</v>
      </c>
      <c r="P341" s="3">
        <v>119.8</v>
      </c>
      <c r="Q341" s="3">
        <v>1508</v>
      </c>
      <c r="R341" s="3">
        <v>112.2</v>
      </c>
      <c r="S341" s="3">
        <v>113.6</v>
      </c>
      <c r="T341" s="3">
        <v>112.3</v>
      </c>
      <c r="U341" s="3">
        <v>113.4</v>
      </c>
      <c r="V341" s="3">
        <v>339.29999999999995</v>
      </c>
      <c r="W341" t="s">
        <v>32</v>
      </c>
      <c r="X341" s="3">
        <v>105.6</v>
      </c>
      <c r="Y341" s="3">
        <v>111.6</v>
      </c>
      <c r="Z341" s="3">
        <v>110.4</v>
      </c>
      <c r="AA341" s="3">
        <v>108.9</v>
      </c>
      <c r="AB341" s="3">
        <v>109.3</v>
      </c>
      <c r="AC341" s="3">
        <v>108.3</v>
      </c>
      <c r="AD341" s="3">
        <v>110.2</v>
      </c>
      <c r="AE341" s="3">
        <v>107.5</v>
      </c>
      <c r="AF341" s="3">
        <v>109.1</v>
      </c>
      <c r="AG341" s="3">
        <v>544.6</v>
      </c>
      <c r="AH341" s="3">
        <v>115.5</v>
      </c>
      <c r="AI341" s="10" t="str">
        <f t="shared" si="5"/>
        <v>2013 October</v>
      </c>
    </row>
    <row r="342" spans="1:35">
      <c r="A342" t="s">
        <v>33</v>
      </c>
      <c r="B342">
        <v>2013</v>
      </c>
      <c r="C342" t="s">
        <v>43</v>
      </c>
      <c r="D342" s="3">
        <v>118.9</v>
      </c>
      <c r="E342" s="3">
        <v>118.1</v>
      </c>
      <c r="F342" s="3">
        <v>114.5</v>
      </c>
      <c r="G342" s="3">
        <v>110.4</v>
      </c>
      <c r="H342" s="3">
        <v>102.3</v>
      </c>
      <c r="I342" s="3">
        <v>106.2</v>
      </c>
      <c r="J342" s="3">
        <v>183.5</v>
      </c>
      <c r="K342" s="3">
        <v>105.3</v>
      </c>
      <c r="L342" s="3">
        <v>100.2</v>
      </c>
      <c r="M342" s="3">
        <v>109.6</v>
      </c>
      <c r="N342" s="3">
        <v>111.4</v>
      </c>
      <c r="O342" s="3">
        <v>116</v>
      </c>
      <c r="P342" s="3">
        <v>120.8</v>
      </c>
      <c r="Q342" s="3">
        <v>1517.1999999999998</v>
      </c>
      <c r="R342" s="3">
        <v>113.5</v>
      </c>
      <c r="S342" s="3">
        <v>112.5</v>
      </c>
      <c r="T342" s="3">
        <v>109.7</v>
      </c>
      <c r="U342" s="3">
        <v>112</v>
      </c>
      <c r="V342" s="3">
        <v>334.2</v>
      </c>
      <c r="W342">
        <v>110.5</v>
      </c>
      <c r="X342" s="3">
        <v>110.5</v>
      </c>
      <c r="Y342" s="3">
        <v>109.7</v>
      </c>
      <c r="Z342" s="3">
        <v>110.2</v>
      </c>
      <c r="AA342" s="3">
        <v>108.2</v>
      </c>
      <c r="AB342" s="3">
        <v>109.7</v>
      </c>
      <c r="AC342" s="3">
        <v>108</v>
      </c>
      <c r="AD342" s="3">
        <v>111.3</v>
      </c>
      <c r="AE342" s="3">
        <v>107.3</v>
      </c>
      <c r="AF342" s="3">
        <v>109.4</v>
      </c>
      <c r="AG342" s="3">
        <v>544.6</v>
      </c>
      <c r="AH342" s="3">
        <v>114</v>
      </c>
      <c r="AI342" s="10" t="str">
        <f t="shared" si="5"/>
        <v>2013 October</v>
      </c>
    </row>
    <row r="343" spans="1:35">
      <c r="A343" t="s">
        <v>34</v>
      </c>
      <c r="B343">
        <v>2013</v>
      </c>
      <c r="C343" t="s">
        <v>43</v>
      </c>
      <c r="D343" s="3">
        <v>117.1</v>
      </c>
      <c r="E343" s="3">
        <v>116.3</v>
      </c>
      <c r="F343" s="3">
        <v>113.3</v>
      </c>
      <c r="G343" s="3">
        <v>111.2</v>
      </c>
      <c r="H343" s="3">
        <v>105.7</v>
      </c>
      <c r="I343" s="3">
        <v>109.9</v>
      </c>
      <c r="J343" s="3">
        <v>171.2</v>
      </c>
      <c r="K343" s="3">
        <v>107.3</v>
      </c>
      <c r="L343" s="3">
        <v>102.7</v>
      </c>
      <c r="M343" s="3">
        <v>108.7</v>
      </c>
      <c r="N343" s="3">
        <v>111.2</v>
      </c>
      <c r="O343" s="3">
        <v>115.4</v>
      </c>
      <c r="P343" s="3">
        <v>120.2</v>
      </c>
      <c r="Q343" s="3">
        <v>1510.2000000000003</v>
      </c>
      <c r="R343" s="3">
        <v>112.5</v>
      </c>
      <c r="S343" s="3">
        <v>113.2</v>
      </c>
      <c r="T343" s="3">
        <v>111.2</v>
      </c>
      <c r="U343" s="3">
        <v>112.8</v>
      </c>
      <c r="V343" s="3">
        <v>337.2</v>
      </c>
      <c r="W343">
        <v>110.5</v>
      </c>
      <c r="X343" s="3">
        <v>110.5</v>
      </c>
      <c r="Y343" s="3">
        <v>110.9</v>
      </c>
      <c r="Z343" s="3">
        <v>110.3</v>
      </c>
      <c r="AA343" s="3">
        <v>108.6</v>
      </c>
      <c r="AB343" s="3">
        <v>109.5</v>
      </c>
      <c r="AC343" s="3">
        <v>108.1</v>
      </c>
      <c r="AD343" s="3">
        <v>110.8</v>
      </c>
      <c r="AE343" s="3">
        <v>107.4</v>
      </c>
      <c r="AF343" s="3">
        <v>109.2</v>
      </c>
      <c r="AG343" s="3">
        <v>544.5</v>
      </c>
      <c r="AH343" s="3">
        <v>114.8</v>
      </c>
      <c r="AI343" s="10" t="str">
        <f t="shared" si="5"/>
        <v>2013 October</v>
      </c>
    </row>
    <row r="344" spans="1:35">
      <c r="A344" t="s">
        <v>30</v>
      </c>
      <c r="B344">
        <v>2013</v>
      </c>
      <c r="C344" t="s">
        <v>44</v>
      </c>
      <c r="D344" s="3">
        <v>117.3</v>
      </c>
      <c r="E344" s="3">
        <v>114.9</v>
      </c>
      <c r="F344" s="3">
        <v>116.2</v>
      </c>
      <c r="G344" s="3">
        <v>112.8</v>
      </c>
      <c r="H344" s="3">
        <v>108.9</v>
      </c>
      <c r="I344" s="3">
        <v>116.6</v>
      </c>
      <c r="J344" s="3">
        <v>178.1</v>
      </c>
      <c r="K344" s="3">
        <v>109.1</v>
      </c>
      <c r="L344" s="3">
        <v>103.6</v>
      </c>
      <c r="M344" s="3">
        <v>109</v>
      </c>
      <c r="N344" s="3">
        <v>111.8</v>
      </c>
      <c r="O344" s="3">
        <v>116</v>
      </c>
      <c r="P344" s="3">
        <v>122.5</v>
      </c>
      <c r="Q344" s="3">
        <v>1536.8</v>
      </c>
      <c r="R344" s="3">
        <v>112.8</v>
      </c>
      <c r="S344" s="3">
        <v>114.6</v>
      </c>
      <c r="T344" s="3">
        <v>113.1</v>
      </c>
      <c r="U344" s="3">
        <v>114.4</v>
      </c>
      <c r="V344" s="3">
        <v>342.1</v>
      </c>
      <c r="W344" t="s">
        <v>32</v>
      </c>
      <c r="X344" s="3">
        <v>105.6</v>
      </c>
      <c r="Y344" s="3">
        <v>112.6</v>
      </c>
      <c r="Z344" s="3">
        <v>111.3</v>
      </c>
      <c r="AA344" s="3">
        <v>109.7</v>
      </c>
      <c r="AB344" s="3">
        <v>109.6</v>
      </c>
      <c r="AC344" s="3">
        <v>108.7</v>
      </c>
      <c r="AD344" s="3">
        <v>111</v>
      </c>
      <c r="AE344" s="3">
        <v>108.2</v>
      </c>
      <c r="AF344" s="3">
        <v>109.8</v>
      </c>
      <c r="AG344" s="3">
        <v>547.59999999999991</v>
      </c>
      <c r="AH344" s="3">
        <v>117.4</v>
      </c>
      <c r="AI344" s="10" t="str">
        <f t="shared" si="5"/>
        <v xml:space="preserve">2013 November </v>
      </c>
    </row>
    <row r="345" spans="1:35">
      <c r="A345" t="s">
        <v>33</v>
      </c>
      <c r="B345">
        <v>2013</v>
      </c>
      <c r="C345" t="s">
        <v>45</v>
      </c>
      <c r="D345" s="3">
        <v>119.8</v>
      </c>
      <c r="E345" s="3">
        <v>116.3</v>
      </c>
      <c r="F345" s="3">
        <v>122.6</v>
      </c>
      <c r="G345" s="3">
        <v>112</v>
      </c>
      <c r="H345" s="3">
        <v>103.2</v>
      </c>
      <c r="I345" s="3">
        <v>110</v>
      </c>
      <c r="J345" s="3">
        <v>192.8</v>
      </c>
      <c r="K345" s="3">
        <v>106.3</v>
      </c>
      <c r="L345" s="3">
        <v>99.5</v>
      </c>
      <c r="M345" s="3">
        <v>110.3</v>
      </c>
      <c r="N345" s="3">
        <v>111.8</v>
      </c>
      <c r="O345" s="3">
        <v>117.1</v>
      </c>
      <c r="P345" s="3">
        <v>122.9</v>
      </c>
      <c r="Q345" s="3">
        <v>1544.6</v>
      </c>
      <c r="R345" s="3">
        <v>114.1</v>
      </c>
      <c r="S345" s="3">
        <v>113.5</v>
      </c>
      <c r="T345" s="3">
        <v>110.3</v>
      </c>
      <c r="U345" s="3">
        <v>113</v>
      </c>
      <c r="V345" s="3">
        <v>336.8</v>
      </c>
      <c r="W345">
        <v>111.1</v>
      </c>
      <c r="X345" s="3">
        <v>111.1</v>
      </c>
      <c r="Y345" s="3">
        <v>110</v>
      </c>
      <c r="Z345" s="3">
        <v>110.9</v>
      </c>
      <c r="AA345" s="3">
        <v>108.6</v>
      </c>
      <c r="AB345" s="3">
        <v>109.5</v>
      </c>
      <c r="AC345" s="3">
        <v>108.5</v>
      </c>
      <c r="AD345" s="3">
        <v>111.3</v>
      </c>
      <c r="AE345" s="3">
        <v>107.9</v>
      </c>
      <c r="AF345" s="3">
        <v>109.6</v>
      </c>
      <c r="AG345" s="3">
        <v>546.4</v>
      </c>
      <c r="AH345" s="3">
        <v>115</v>
      </c>
      <c r="AI345" s="10" t="str">
        <f t="shared" si="5"/>
        <v>2013 November</v>
      </c>
    </row>
    <row r="346" spans="1:35">
      <c r="A346" t="s">
        <v>34</v>
      </c>
      <c r="B346">
        <v>2013</v>
      </c>
      <c r="C346" t="s">
        <v>45</v>
      </c>
      <c r="D346" s="3">
        <v>118.1</v>
      </c>
      <c r="E346" s="3">
        <v>115.4</v>
      </c>
      <c r="F346" s="3">
        <v>118.7</v>
      </c>
      <c r="G346" s="3">
        <v>112.5</v>
      </c>
      <c r="H346" s="3">
        <v>106.8</v>
      </c>
      <c r="I346" s="3">
        <v>113.5</v>
      </c>
      <c r="J346" s="3">
        <v>183.1</v>
      </c>
      <c r="K346" s="3">
        <v>108.2</v>
      </c>
      <c r="L346" s="3">
        <v>102.2</v>
      </c>
      <c r="M346" s="3">
        <v>109.4</v>
      </c>
      <c r="N346" s="3">
        <v>111.8</v>
      </c>
      <c r="O346" s="3">
        <v>116.5</v>
      </c>
      <c r="P346" s="3">
        <v>122.6</v>
      </c>
      <c r="Q346" s="3">
        <v>1538.8</v>
      </c>
      <c r="R346" s="3">
        <v>113.1</v>
      </c>
      <c r="S346" s="3">
        <v>114.2</v>
      </c>
      <c r="T346" s="3">
        <v>111.9</v>
      </c>
      <c r="U346" s="3">
        <v>113.8</v>
      </c>
      <c r="V346" s="3">
        <v>339.90000000000003</v>
      </c>
      <c r="W346">
        <v>111.1</v>
      </c>
      <c r="X346" s="3">
        <v>111.1</v>
      </c>
      <c r="Y346" s="3">
        <v>111.6</v>
      </c>
      <c r="Z346" s="3">
        <v>111.1</v>
      </c>
      <c r="AA346" s="3">
        <v>109.3</v>
      </c>
      <c r="AB346" s="3">
        <v>109.5</v>
      </c>
      <c r="AC346" s="3">
        <v>108.6</v>
      </c>
      <c r="AD346" s="3">
        <v>111.2</v>
      </c>
      <c r="AE346" s="3">
        <v>108.1</v>
      </c>
      <c r="AF346" s="3">
        <v>109.7</v>
      </c>
      <c r="AG346" s="3">
        <v>547</v>
      </c>
      <c r="AH346" s="3">
        <v>116.3</v>
      </c>
      <c r="AI346" s="10" t="str">
        <f t="shared" si="5"/>
        <v>2013 November</v>
      </c>
    </row>
    <row r="347" spans="1:35">
      <c r="A347" t="s">
        <v>30</v>
      </c>
      <c r="B347">
        <v>2013</v>
      </c>
      <c r="C347" t="s">
        <v>38</v>
      </c>
      <c r="D347" s="3">
        <v>110.9</v>
      </c>
      <c r="E347" s="3">
        <v>109.8</v>
      </c>
      <c r="F347" s="3">
        <v>105.9</v>
      </c>
      <c r="G347" s="3">
        <v>107.5</v>
      </c>
      <c r="H347" s="3">
        <v>105.3</v>
      </c>
      <c r="I347" s="3">
        <v>108.1</v>
      </c>
      <c r="J347" s="3">
        <v>107.3</v>
      </c>
      <c r="K347" s="3">
        <v>106.1</v>
      </c>
      <c r="L347" s="3">
        <v>103.7</v>
      </c>
      <c r="M347" s="3">
        <v>104</v>
      </c>
      <c r="N347" s="3">
        <v>107.4</v>
      </c>
      <c r="O347" s="3">
        <v>109.9</v>
      </c>
      <c r="P347" s="3">
        <v>108.1</v>
      </c>
      <c r="Q347" s="3">
        <v>1394</v>
      </c>
      <c r="R347" s="3">
        <v>108.1</v>
      </c>
      <c r="S347" s="3">
        <v>108.8</v>
      </c>
      <c r="T347" s="3">
        <v>107.9</v>
      </c>
      <c r="U347" s="3">
        <v>108.6</v>
      </c>
      <c r="V347" s="3">
        <v>325.29999999999995</v>
      </c>
      <c r="W347" t="s">
        <v>32</v>
      </c>
      <c r="X347" s="3">
        <v>105.6</v>
      </c>
      <c r="Y347" s="3">
        <v>107.5</v>
      </c>
      <c r="Z347" s="3">
        <v>106.8</v>
      </c>
      <c r="AA347" s="3">
        <v>105.7</v>
      </c>
      <c r="AB347" s="3">
        <v>104.1</v>
      </c>
      <c r="AC347" s="3">
        <v>105</v>
      </c>
      <c r="AD347" s="3">
        <v>105.5</v>
      </c>
      <c r="AE347" s="3">
        <v>102.1</v>
      </c>
      <c r="AF347" s="3">
        <v>104.8</v>
      </c>
      <c r="AG347" s="3">
        <v>522.79999999999995</v>
      </c>
      <c r="AH347" s="3">
        <v>107.2</v>
      </c>
      <c r="AI347" s="10" t="str">
        <f t="shared" si="5"/>
        <v>2013 May</v>
      </c>
    </row>
    <row r="348" spans="1:35">
      <c r="A348" t="s">
        <v>33</v>
      </c>
      <c r="B348">
        <v>2013</v>
      </c>
      <c r="C348" t="s">
        <v>38</v>
      </c>
      <c r="D348" s="3">
        <v>115.4</v>
      </c>
      <c r="E348" s="3">
        <v>114.2</v>
      </c>
      <c r="F348" s="3">
        <v>102.7</v>
      </c>
      <c r="G348" s="3">
        <v>105.5</v>
      </c>
      <c r="H348" s="3">
        <v>101.5</v>
      </c>
      <c r="I348" s="3">
        <v>110.6</v>
      </c>
      <c r="J348" s="3">
        <v>123.7</v>
      </c>
      <c r="K348" s="3">
        <v>105.2</v>
      </c>
      <c r="L348" s="3">
        <v>101.9</v>
      </c>
      <c r="M348" s="3">
        <v>105</v>
      </c>
      <c r="N348" s="3">
        <v>109.1</v>
      </c>
      <c r="O348" s="3">
        <v>111.3</v>
      </c>
      <c r="P348" s="3">
        <v>111.1</v>
      </c>
      <c r="Q348" s="3">
        <v>1417.1999999999998</v>
      </c>
      <c r="R348" s="3">
        <v>109.8</v>
      </c>
      <c r="S348" s="3">
        <v>108.5</v>
      </c>
      <c r="T348" s="3">
        <v>106.7</v>
      </c>
      <c r="U348" s="3">
        <v>108.3</v>
      </c>
      <c r="V348" s="3">
        <v>323.5</v>
      </c>
      <c r="W348">
        <v>100.5</v>
      </c>
      <c r="X348" s="3">
        <v>100.5</v>
      </c>
      <c r="Y348" s="3">
        <v>107.2</v>
      </c>
      <c r="Z348" s="3">
        <v>107.1</v>
      </c>
      <c r="AA348" s="3">
        <v>106.2</v>
      </c>
      <c r="AB348" s="3">
        <v>103.9</v>
      </c>
      <c r="AC348" s="3">
        <v>104.6</v>
      </c>
      <c r="AD348" s="3">
        <v>105.7</v>
      </c>
      <c r="AE348" s="3">
        <v>102.6</v>
      </c>
      <c r="AF348" s="3">
        <v>104.9</v>
      </c>
      <c r="AG348" s="3">
        <v>523.1</v>
      </c>
      <c r="AH348" s="3">
        <v>106.6</v>
      </c>
      <c r="AI348" s="10" t="str">
        <f t="shared" si="5"/>
        <v>2013 May</v>
      </c>
    </row>
    <row r="349" spans="1:35">
      <c r="A349" t="s">
        <v>34</v>
      </c>
      <c r="B349">
        <v>2013</v>
      </c>
      <c r="C349" t="s">
        <v>38</v>
      </c>
      <c r="D349" s="3">
        <v>112.3</v>
      </c>
      <c r="E349" s="3">
        <v>111.3</v>
      </c>
      <c r="F349" s="3">
        <v>104.7</v>
      </c>
      <c r="G349" s="3">
        <v>106.8</v>
      </c>
      <c r="H349" s="3">
        <v>103.9</v>
      </c>
      <c r="I349" s="3">
        <v>109.3</v>
      </c>
      <c r="J349" s="3">
        <v>112.9</v>
      </c>
      <c r="K349" s="3">
        <v>105.8</v>
      </c>
      <c r="L349" s="3">
        <v>103.1</v>
      </c>
      <c r="M349" s="3">
        <v>104.3</v>
      </c>
      <c r="N349" s="3">
        <v>108.1</v>
      </c>
      <c r="O349" s="3">
        <v>110.5</v>
      </c>
      <c r="P349" s="3">
        <v>109.2</v>
      </c>
      <c r="Q349" s="3">
        <v>1402.1999999999998</v>
      </c>
      <c r="R349" s="3">
        <v>108.6</v>
      </c>
      <c r="S349" s="3">
        <v>108.7</v>
      </c>
      <c r="T349" s="3">
        <v>107.4</v>
      </c>
      <c r="U349" s="3">
        <v>108.5</v>
      </c>
      <c r="V349" s="3">
        <v>324.60000000000002</v>
      </c>
      <c r="W349">
        <v>100.5</v>
      </c>
      <c r="X349" s="3">
        <v>100.5</v>
      </c>
      <c r="Y349" s="3">
        <v>107.4</v>
      </c>
      <c r="Z349" s="3">
        <v>106.9</v>
      </c>
      <c r="AA349" s="3">
        <v>105.9</v>
      </c>
      <c r="AB349" s="3">
        <v>104</v>
      </c>
      <c r="AC349" s="3">
        <v>104.8</v>
      </c>
      <c r="AD349" s="3">
        <v>105.6</v>
      </c>
      <c r="AE349" s="3">
        <v>102.3</v>
      </c>
      <c r="AF349" s="3">
        <v>104.8</v>
      </c>
      <c r="AG349" s="3">
        <v>522.79999999999995</v>
      </c>
      <c r="AH349" s="3">
        <v>106.9</v>
      </c>
      <c r="AI349" s="10" t="str">
        <f t="shared" si="5"/>
        <v>2013 May</v>
      </c>
    </row>
    <row r="350" spans="1:35">
      <c r="A350" t="s">
        <v>30</v>
      </c>
      <c r="B350">
        <v>2013</v>
      </c>
      <c r="C350" t="s">
        <v>36</v>
      </c>
      <c r="D350" s="3">
        <v>110.2</v>
      </c>
      <c r="E350" s="3">
        <v>108.8</v>
      </c>
      <c r="F350" s="3">
        <v>109.9</v>
      </c>
      <c r="G350" s="3">
        <v>105.6</v>
      </c>
      <c r="H350" s="3">
        <v>106.2</v>
      </c>
      <c r="I350" s="3">
        <v>105.7</v>
      </c>
      <c r="J350" s="3">
        <v>101.4</v>
      </c>
      <c r="K350" s="3">
        <v>105.7</v>
      </c>
      <c r="L350" s="3">
        <v>105</v>
      </c>
      <c r="M350" s="3">
        <v>103.3</v>
      </c>
      <c r="N350" s="3">
        <v>105.6</v>
      </c>
      <c r="O350" s="3">
        <v>108.2</v>
      </c>
      <c r="P350" s="3">
        <v>106.6</v>
      </c>
      <c r="Q350" s="3">
        <v>1382.2</v>
      </c>
      <c r="R350" s="3">
        <v>106.5</v>
      </c>
      <c r="S350" s="3">
        <v>107.6</v>
      </c>
      <c r="T350" s="3">
        <v>106.8</v>
      </c>
      <c r="U350" s="3">
        <v>107.5</v>
      </c>
      <c r="V350" s="3">
        <v>321.89999999999998</v>
      </c>
      <c r="W350" t="s">
        <v>32</v>
      </c>
      <c r="X350" s="3">
        <v>105.6</v>
      </c>
      <c r="Y350" s="3">
        <v>106.1</v>
      </c>
      <c r="Z350" s="3">
        <v>105.6</v>
      </c>
      <c r="AA350" s="3">
        <v>104.7</v>
      </c>
      <c r="AB350" s="3">
        <v>104.6</v>
      </c>
      <c r="AC350" s="3">
        <v>104</v>
      </c>
      <c r="AD350" s="3">
        <v>104.3</v>
      </c>
      <c r="AE350" s="3">
        <v>104.3</v>
      </c>
      <c r="AF350" s="3">
        <v>104.6</v>
      </c>
      <c r="AG350" s="3">
        <v>523.1</v>
      </c>
      <c r="AH350" s="3">
        <v>106</v>
      </c>
      <c r="AI350" s="10" t="str">
        <f t="shared" si="5"/>
        <v>2013 March</v>
      </c>
    </row>
    <row r="351" spans="1:35">
      <c r="A351" t="s">
        <v>33</v>
      </c>
      <c r="B351">
        <v>2013</v>
      </c>
      <c r="C351" t="s">
        <v>36</v>
      </c>
      <c r="D351" s="3">
        <v>113.9</v>
      </c>
      <c r="E351" s="3">
        <v>111.4</v>
      </c>
      <c r="F351" s="3">
        <v>113.2</v>
      </c>
      <c r="G351" s="3">
        <v>104.3</v>
      </c>
      <c r="H351" s="3">
        <v>102.7</v>
      </c>
      <c r="I351" s="3">
        <v>104.9</v>
      </c>
      <c r="J351" s="3">
        <v>103.8</v>
      </c>
      <c r="K351" s="3">
        <v>103.5</v>
      </c>
      <c r="L351" s="3">
        <v>102.6</v>
      </c>
      <c r="M351" s="3">
        <v>102.4</v>
      </c>
      <c r="N351" s="3">
        <v>107</v>
      </c>
      <c r="O351" s="3">
        <v>109.8</v>
      </c>
      <c r="P351" s="3">
        <v>107.3</v>
      </c>
      <c r="Q351" s="3">
        <v>1386.8</v>
      </c>
      <c r="R351" s="3">
        <v>106.8</v>
      </c>
      <c r="S351" s="3">
        <v>107.2</v>
      </c>
      <c r="T351" s="3">
        <v>106</v>
      </c>
      <c r="U351" s="3">
        <v>107</v>
      </c>
      <c r="V351" s="3">
        <v>320.2</v>
      </c>
      <c r="W351">
        <v>100.4</v>
      </c>
      <c r="X351" s="3">
        <v>100.4</v>
      </c>
      <c r="Y351" s="3">
        <v>106</v>
      </c>
      <c r="Z351" s="3">
        <v>105.7</v>
      </c>
      <c r="AA351" s="3">
        <v>105.2</v>
      </c>
      <c r="AB351" s="3">
        <v>105.5</v>
      </c>
      <c r="AC351" s="3">
        <v>103.5</v>
      </c>
      <c r="AD351" s="3">
        <v>103.8</v>
      </c>
      <c r="AE351" s="3">
        <v>104.2</v>
      </c>
      <c r="AF351" s="3">
        <v>104.9</v>
      </c>
      <c r="AG351" s="3">
        <v>523.79999999999995</v>
      </c>
      <c r="AH351" s="3">
        <v>105</v>
      </c>
      <c r="AI351" s="10" t="str">
        <f t="shared" si="5"/>
        <v>2013 March</v>
      </c>
    </row>
    <row r="352" spans="1:35">
      <c r="A352" t="s">
        <v>34</v>
      </c>
      <c r="B352">
        <v>2013</v>
      </c>
      <c r="C352" t="s">
        <v>36</v>
      </c>
      <c r="D352" s="3">
        <v>111.4</v>
      </c>
      <c r="E352" s="3">
        <v>109.7</v>
      </c>
      <c r="F352" s="3">
        <v>111.2</v>
      </c>
      <c r="G352" s="3">
        <v>105.1</v>
      </c>
      <c r="H352" s="3">
        <v>104.9</v>
      </c>
      <c r="I352" s="3">
        <v>105.3</v>
      </c>
      <c r="J352" s="3">
        <v>102.2</v>
      </c>
      <c r="K352" s="3">
        <v>105</v>
      </c>
      <c r="L352" s="3">
        <v>104.2</v>
      </c>
      <c r="M352" s="3">
        <v>103</v>
      </c>
      <c r="N352" s="3">
        <v>106.2</v>
      </c>
      <c r="O352" s="3">
        <v>108.9</v>
      </c>
      <c r="P352" s="3">
        <v>106.9</v>
      </c>
      <c r="Q352" s="3">
        <v>1384.0000000000002</v>
      </c>
      <c r="R352" s="3">
        <v>106.6</v>
      </c>
      <c r="S352" s="3">
        <v>107.4</v>
      </c>
      <c r="T352" s="3">
        <v>106.5</v>
      </c>
      <c r="U352" s="3">
        <v>107.3</v>
      </c>
      <c r="V352" s="3">
        <v>321.2</v>
      </c>
      <c r="W352">
        <v>100.4</v>
      </c>
      <c r="X352" s="3">
        <v>100.4</v>
      </c>
      <c r="Y352" s="3">
        <v>106.1</v>
      </c>
      <c r="Z352" s="3">
        <v>105.6</v>
      </c>
      <c r="AA352" s="3">
        <v>104.9</v>
      </c>
      <c r="AB352" s="3">
        <v>105.1</v>
      </c>
      <c r="AC352" s="3">
        <v>103.7</v>
      </c>
      <c r="AD352" s="3">
        <v>104</v>
      </c>
      <c r="AE352" s="3">
        <v>104.3</v>
      </c>
      <c r="AF352" s="3">
        <v>104.7</v>
      </c>
      <c r="AG352" s="3">
        <v>523.4</v>
      </c>
      <c r="AH352" s="3">
        <v>105.5</v>
      </c>
      <c r="AI352" s="10" t="str">
        <f t="shared" si="5"/>
        <v>2013 March</v>
      </c>
    </row>
    <row r="353" spans="1:35">
      <c r="A353" t="s">
        <v>30</v>
      </c>
      <c r="B353">
        <v>2013</v>
      </c>
      <c r="C353" t="s">
        <v>39</v>
      </c>
      <c r="D353" s="3">
        <v>112.3</v>
      </c>
      <c r="E353" s="3">
        <v>112.1</v>
      </c>
      <c r="F353" s="3">
        <v>108.1</v>
      </c>
      <c r="G353" s="3">
        <v>108.3</v>
      </c>
      <c r="H353" s="3">
        <v>105.9</v>
      </c>
      <c r="I353" s="3">
        <v>109.2</v>
      </c>
      <c r="J353" s="3">
        <v>118</v>
      </c>
      <c r="K353" s="3">
        <v>106.8</v>
      </c>
      <c r="L353" s="3">
        <v>104.1</v>
      </c>
      <c r="M353" s="3">
        <v>105.4</v>
      </c>
      <c r="N353" s="3">
        <v>108.2</v>
      </c>
      <c r="O353" s="3">
        <v>111</v>
      </c>
      <c r="P353" s="3">
        <v>110.6</v>
      </c>
      <c r="Q353" s="3">
        <v>1420</v>
      </c>
      <c r="R353" s="3">
        <v>109</v>
      </c>
      <c r="S353" s="3">
        <v>109.7</v>
      </c>
      <c r="T353" s="3">
        <v>108.8</v>
      </c>
      <c r="U353" s="3">
        <v>109.5</v>
      </c>
      <c r="V353" s="3">
        <v>328</v>
      </c>
      <c r="W353" t="s">
        <v>32</v>
      </c>
      <c r="X353" s="3">
        <v>105.6</v>
      </c>
      <c r="Y353" s="3">
        <v>108.5</v>
      </c>
      <c r="Z353" s="3">
        <v>107.5</v>
      </c>
      <c r="AA353" s="3">
        <v>106.3</v>
      </c>
      <c r="AB353" s="3">
        <v>105</v>
      </c>
      <c r="AC353" s="3">
        <v>105.6</v>
      </c>
      <c r="AD353" s="3">
        <v>106.5</v>
      </c>
      <c r="AE353" s="3">
        <v>102.5</v>
      </c>
      <c r="AF353" s="3">
        <v>105.5</v>
      </c>
      <c r="AG353" s="3">
        <v>526.1</v>
      </c>
      <c r="AH353" s="3">
        <v>108.9</v>
      </c>
      <c r="AI353" s="10" t="str">
        <f t="shared" si="5"/>
        <v>2013 June</v>
      </c>
    </row>
    <row r="354" spans="1:35">
      <c r="A354" t="s">
        <v>33</v>
      </c>
      <c r="B354">
        <v>2013</v>
      </c>
      <c r="C354" t="s">
        <v>39</v>
      </c>
      <c r="D354" s="3">
        <v>117</v>
      </c>
      <c r="E354" s="3">
        <v>120.1</v>
      </c>
      <c r="F354" s="3">
        <v>112.5</v>
      </c>
      <c r="G354" s="3">
        <v>107.3</v>
      </c>
      <c r="H354" s="3">
        <v>101.3</v>
      </c>
      <c r="I354" s="3">
        <v>112.4</v>
      </c>
      <c r="J354" s="3">
        <v>143.6</v>
      </c>
      <c r="K354" s="3">
        <v>105.4</v>
      </c>
      <c r="L354" s="3">
        <v>101.4</v>
      </c>
      <c r="M354" s="3">
        <v>106.4</v>
      </c>
      <c r="N354" s="3">
        <v>110</v>
      </c>
      <c r="O354" s="3">
        <v>112.2</v>
      </c>
      <c r="P354" s="3">
        <v>115</v>
      </c>
      <c r="Q354" s="3">
        <v>1464.6000000000001</v>
      </c>
      <c r="R354" s="3">
        <v>110.9</v>
      </c>
      <c r="S354" s="3">
        <v>109.2</v>
      </c>
      <c r="T354" s="3">
        <v>107.2</v>
      </c>
      <c r="U354" s="3">
        <v>108.9</v>
      </c>
      <c r="V354" s="3">
        <v>325.3</v>
      </c>
      <c r="W354">
        <v>106.6</v>
      </c>
      <c r="X354" s="3">
        <v>106.6</v>
      </c>
      <c r="Y354" s="3">
        <v>108</v>
      </c>
      <c r="Z354" s="3">
        <v>107.7</v>
      </c>
      <c r="AA354" s="3">
        <v>106.5</v>
      </c>
      <c r="AB354" s="3">
        <v>105.2</v>
      </c>
      <c r="AC354" s="3">
        <v>105.2</v>
      </c>
      <c r="AD354" s="3">
        <v>108.1</v>
      </c>
      <c r="AE354" s="3">
        <v>103.3</v>
      </c>
      <c r="AF354" s="3">
        <v>106.1</v>
      </c>
      <c r="AG354" s="3">
        <v>527.5</v>
      </c>
      <c r="AH354" s="3">
        <v>109.7</v>
      </c>
      <c r="AI354" s="10" t="str">
        <f t="shared" si="5"/>
        <v>2013 June</v>
      </c>
    </row>
    <row r="355" spans="1:35">
      <c r="A355" t="s">
        <v>34</v>
      </c>
      <c r="B355">
        <v>2013</v>
      </c>
      <c r="C355" t="s">
        <v>39</v>
      </c>
      <c r="D355" s="3">
        <v>113.8</v>
      </c>
      <c r="E355" s="3">
        <v>114.9</v>
      </c>
      <c r="F355" s="3">
        <v>109.8</v>
      </c>
      <c r="G355" s="3">
        <v>107.9</v>
      </c>
      <c r="H355" s="3">
        <v>104.2</v>
      </c>
      <c r="I355" s="3">
        <v>110.7</v>
      </c>
      <c r="J355" s="3">
        <v>126.7</v>
      </c>
      <c r="K355" s="3">
        <v>106.3</v>
      </c>
      <c r="L355" s="3">
        <v>103.2</v>
      </c>
      <c r="M355" s="3">
        <v>105.7</v>
      </c>
      <c r="N355" s="3">
        <v>109</v>
      </c>
      <c r="O355" s="3">
        <v>111.6</v>
      </c>
      <c r="P355" s="3">
        <v>112.2</v>
      </c>
      <c r="Q355" s="3">
        <v>1436</v>
      </c>
      <c r="R355" s="3">
        <v>109.5</v>
      </c>
      <c r="S355" s="3">
        <v>109.5</v>
      </c>
      <c r="T355" s="3">
        <v>108.1</v>
      </c>
      <c r="U355" s="3">
        <v>109.3</v>
      </c>
      <c r="V355" s="3">
        <v>326.89999999999998</v>
      </c>
      <c r="W355">
        <v>106.6</v>
      </c>
      <c r="X355" s="3">
        <v>106.6</v>
      </c>
      <c r="Y355" s="3">
        <v>108.3</v>
      </c>
      <c r="Z355" s="3">
        <v>107.6</v>
      </c>
      <c r="AA355" s="3">
        <v>106.4</v>
      </c>
      <c r="AB355" s="3">
        <v>105.1</v>
      </c>
      <c r="AC355" s="3">
        <v>105.4</v>
      </c>
      <c r="AD355" s="3">
        <v>107.4</v>
      </c>
      <c r="AE355" s="3">
        <v>102.8</v>
      </c>
      <c r="AF355" s="3">
        <v>105.8</v>
      </c>
      <c r="AG355" s="3">
        <v>526.70000000000005</v>
      </c>
      <c r="AH355" s="3">
        <v>109.3</v>
      </c>
      <c r="AI355" s="10" t="str">
        <f t="shared" si="5"/>
        <v>2013 June</v>
      </c>
    </row>
    <row r="356" spans="1:35">
      <c r="A356" t="s">
        <v>30</v>
      </c>
      <c r="B356">
        <v>2013</v>
      </c>
      <c r="C356" t="s">
        <v>40</v>
      </c>
      <c r="D356" s="3">
        <v>113.4</v>
      </c>
      <c r="E356" s="3">
        <v>114.9</v>
      </c>
      <c r="F356" s="3">
        <v>110.5</v>
      </c>
      <c r="G356" s="3">
        <v>109.3</v>
      </c>
      <c r="H356" s="3">
        <v>106.2</v>
      </c>
      <c r="I356" s="3">
        <v>110.3</v>
      </c>
      <c r="J356" s="3">
        <v>129.19999999999999</v>
      </c>
      <c r="K356" s="3">
        <v>107.1</v>
      </c>
      <c r="L356" s="3">
        <v>104.3</v>
      </c>
      <c r="M356" s="3">
        <v>106.4</v>
      </c>
      <c r="N356" s="3">
        <v>109.1</v>
      </c>
      <c r="O356" s="3">
        <v>112.1</v>
      </c>
      <c r="P356" s="3">
        <v>113.1</v>
      </c>
      <c r="Q356" s="3">
        <v>1445.8999999999996</v>
      </c>
      <c r="R356" s="3">
        <v>109.8</v>
      </c>
      <c r="S356" s="3">
        <v>110.5</v>
      </c>
      <c r="T356" s="3">
        <v>109.5</v>
      </c>
      <c r="U356" s="3">
        <v>110.3</v>
      </c>
      <c r="V356" s="3">
        <v>330.3</v>
      </c>
      <c r="W356" t="s">
        <v>32</v>
      </c>
      <c r="X356" s="3">
        <v>105.6</v>
      </c>
      <c r="Y356" s="3">
        <v>109.5</v>
      </c>
      <c r="Z356" s="3">
        <v>108.3</v>
      </c>
      <c r="AA356" s="3">
        <v>106.9</v>
      </c>
      <c r="AB356" s="3">
        <v>106.8</v>
      </c>
      <c r="AC356" s="3">
        <v>106.4</v>
      </c>
      <c r="AD356" s="3">
        <v>107.8</v>
      </c>
      <c r="AE356" s="3">
        <v>102.5</v>
      </c>
      <c r="AF356" s="3">
        <v>106.5</v>
      </c>
      <c r="AG356" s="3">
        <v>530.5</v>
      </c>
      <c r="AH356" s="3">
        <v>110.7</v>
      </c>
      <c r="AI356" s="10" t="str">
        <f t="shared" si="5"/>
        <v>2013 July</v>
      </c>
    </row>
    <row r="357" spans="1:35">
      <c r="A357" t="s">
        <v>33</v>
      </c>
      <c r="B357">
        <v>2013</v>
      </c>
      <c r="C357" t="s">
        <v>40</v>
      </c>
      <c r="D357" s="3">
        <v>117.8</v>
      </c>
      <c r="E357" s="3">
        <v>119.2</v>
      </c>
      <c r="F357" s="3">
        <v>114</v>
      </c>
      <c r="G357" s="3">
        <v>108.3</v>
      </c>
      <c r="H357" s="3">
        <v>101.1</v>
      </c>
      <c r="I357" s="3">
        <v>113.2</v>
      </c>
      <c r="J357" s="3">
        <v>160.9</v>
      </c>
      <c r="K357" s="3">
        <v>105.1</v>
      </c>
      <c r="L357" s="3">
        <v>101.3</v>
      </c>
      <c r="M357" s="3">
        <v>107.5</v>
      </c>
      <c r="N357" s="3">
        <v>110.4</v>
      </c>
      <c r="O357" s="3">
        <v>113.1</v>
      </c>
      <c r="P357" s="3">
        <v>117.5</v>
      </c>
      <c r="Q357" s="3">
        <v>1489.4</v>
      </c>
      <c r="R357" s="3">
        <v>111.7</v>
      </c>
      <c r="S357" s="3">
        <v>109.8</v>
      </c>
      <c r="T357" s="3">
        <v>107.8</v>
      </c>
      <c r="U357" s="3">
        <v>109.5</v>
      </c>
      <c r="V357" s="3">
        <v>327.10000000000002</v>
      </c>
      <c r="W357">
        <v>107.7</v>
      </c>
      <c r="X357" s="3">
        <v>107.7</v>
      </c>
      <c r="Y357" s="3">
        <v>108.6</v>
      </c>
      <c r="Z357" s="3">
        <v>108.1</v>
      </c>
      <c r="AA357" s="3">
        <v>107.1</v>
      </c>
      <c r="AB357" s="3">
        <v>107.3</v>
      </c>
      <c r="AC357" s="3">
        <v>105.9</v>
      </c>
      <c r="AD357" s="3">
        <v>110.1</v>
      </c>
      <c r="AE357" s="3">
        <v>103.2</v>
      </c>
      <c r="AF357" s="3">
        <v>107.3</v>
      </c>
      <c r="AG357" s="3">
        <v>531.79999999999995</v>
      </c>
      <c r="AH357" s="3">
        <v>111.4</v>
      </c>
      <c r="AI357" s="10" t="str">
        <f t="shared" si="5"/>
        <v>2013 July</v>
      </c>
    </row>
    <row r="358" spans="1:35">
      <c r="A358" t="s">
        <v>34</v>
      </c>
      <c r="B358">
        <v>2013</v>
      </c>
      <c r="C358" t="s">
        <v>40</v>
      </c>
      <c r="D358" s="3">
        <v>114.8</v>
      </c>
      <c r="E358" s="3">
        <v>116.4</v>
      </c>
      <c r="F358" s="3">
        <v>111.9</v>
      </c>
      <c r="G358" s="3">
        <v>108.9</v>
      </c>
      <c r="H358" s="3">
        <v>104.3</v>
      </c>
      <c r="I358" s="3">
        <v>111.7</v>
      </c>
      <c r="J358" s="3">
        <v>140</v>
      </c>
      <c r="K358" s="3">
        <v>106.4</v>
      </c>
      <c r="L358" s="3">
        <v>103.3</v>
      </c>
      <c r="M358" s="3">
        <v>106.8</v>
      </c>
      <c r="N358" s="3">
        <v>109.6</v>
      </c>
      <c r="O358" s="3">
        <v>112.6</v>
      </c>
      <c r="P358" s="3">
        <v>114.7</v>
      </c>
      <c r="Q358" s="3">
        <v>1461.3999999999999</v>
      </c>
      <c r="R358" s="3">
        <v>110.3</v>
      </c>
      <c r="S358" s="3">
        <v>110.2</v>
      </c>
      <c r="T358" s="3">
        <v>108.8</v>
      </c>
      <c r="U358" s="3">
        <v>110</v>
      </c>
      <c r="V358" s="3">
        <v>329</v>
      </c>
      <c r="W358">
        <v>107.7</v>
      </c>
      <c r="X358" s="3">
        <v>107.7</v>
      </c>
      <c r="Y358" s="3">
        <v>109.2</v>
      </c>
      <c r="Z358" s="3">
        <v>108.2</v>
      </c>
      <c r="AA358" s="3">
        <v>107</v>
      </c>
      <c r="AB358" s="3">
        <v>107.1</v>
      </c>
      <c r="AC358" s="3">
        <v>106.1</v>
      </c>
      <c r="AD358" s="3">
        <v>109.1</v>
      </c>
      <c r="AE358" s="3">
        <v>102.8</v>
      </c>
      <c r="AF358" s="3">
        <v>106.9</v>
      </c>
      <c r="AG358" s="3">
        <v>531.1</v>
      </c>
      <c r="AH358" s="3">
        <v>111</v>
      </c>
      <c r="AI358" s="10" t="str">
        <f t="shared" si="5"/>
        <v>2013 July</v>
      </c>
    </row>
    <row r="359" spans="1:35">
      <c r="A359" t="s">
        <v>30</v>
      </c>
      <c r="B359">
        <v>2013</v>
      </c>
      <c r="C359" t="s">
        <v>31</v>
      </c>
      <c r="D359" s="3">
        <v>107.5</v>
      </c>
      <c r="E359" s="3">
        <v>106.3</v>
      </c>
      <c r="F359" s="3">
        <v>108.1</v>
      </c>
      <c r="G359" s="3">
        <v>104.9</v>
      </c>
      <c r="H359" s="3">
        <v>106.1</v>
      </c>
      <c r="I359" s="3">
        <v>103.9</v>
      </c>
      <c r="J359" s="3">
        <v>101.9</v>
      </c>
      <c r="K359" s="3">
        <v>106.1</v>
      </c>
      <c r="L359" s="3">
        <v>106.8</v>
      </c>
      <c r="M359" s="3">
        <v>103.1</v>
      </c>
      <c r="N359" s="3">
        <v>104.8</v>
      </c>
      <c r="O359" s="3">
        <v>106.7</v>
      </c>
      <c r="P359" s="3">
        <v>105.5</v>
      </c>
      <c r="Q359" s="5">
        <f>SUM(D359:P359)</f>
        <v>1371.6999999999998</v>
      </c>
      <c r="R359" s="3">
        <v>105.1</v>
      </c>
      <c r="S359" s="3">
        <v>106.5</v>
      </c>
      <c r="T359" s="3">
        <v>105.8</v>
      </c>
      <c r="U359" s="3">
        <v>106.4</v>
      </c>
      <c r="V359" s="5">
        <f>SUM(S359+T359+U359)</f>
        <v>318.70000000000005</v>
      </c>
      <c r="W359" t="s">
        <v>32</v>
      </c>
      <c r="X359" s="3">
        <v>105.6</v>
      </c>
      <c r="Y359" s="3">
        <v>105.5</v>
      </c>
      <c r="Z359" s="3">
        <v>104.8</v>
      </c>
      <c r="AA359" s="3">
        <v>104</v>
      </c>
      <c r="AB359" s="3">
        <v>103.3</v>
      </c>
      <c r="AC359" s="3">
        <v>103.4</v>
      </c>
      <c r="AD359" s="3">
        <v>103.8</v>
      </c>
      <c r="AE359" s="3">
        <v>104.7</v>
      </c>
      <c r="AF359" s="3">
        <v>104</v>
      </c>
      <c r="AG359" s="5">
        <f>SUM(Z359+AB359+AC359+AE359+AF359)</f>
        <v>520.20000000000005</v>
      </c>
      <c r="AH359" s="3">
        <v>105.1</v>
      </c>
      <c r="AI359" s="10" t="str">
        <f t="shared" si="5"/>
        <v>2013 January</v>
      </c>
    </row>
    <row r="360" spans="1:35">
      <c r="A360" t="s">
        <v>33</v>
      </c>
      <c r="B360">
        <v>2013</v>
      </c>
      <c r="C360" t="s">
        <v>31</v>
      </c>
      <c r="D360" s="3">
        <v>110.5</v>
      </c>
      <c r="E360" s="3">
        <v>109.1</v>
      </c>
      <c r="F360" s="3">
        <v>113</v>
      </c>
      <c r="G360" s="3">
        <v>103.6</v>
      </c>
      <c r="H360" s="3">
        <v>103.4</v>
      </c>
      <c r="I360" s="3">
        <v>102.3</v>
      </c>
      <c r="J360" s="3">
        <v>102.9</v>
      </c>
      <c r="K360" s="3">
        <v>105.8</v>
      </c>
      <c r="L360" s="3">
        <v>105.1</v>
      </c>
      <c r="M360" s="3">
        <v>101.8</v>
      </c>
      <c r="N360" s="3">
        <v>105.1</v>
      </c>
      <c r="O360" s="3">
        <v>107.9</v>
      </c>
      <c r="P360" s="3">
        <v>105.9</v>
      </c>
      <c r="Q360" s="3">
        <v>1376.4</v>
      </c>
      <c r="R360" s="3">
        <v>105.2</v>
      </c>
      <c r="S360" s="3">
        <v>105.9</v>
      </c>
      <c r="T360" s="3">
        <v>105</v>
      </c>
      <c r="U360" s="3">
        <v>105.8</v>
      </c>
      <c r="V360" s="3">
        <v>316.7</v>
      </c>
      <c r="W360">
        <v>100.3</v>
      </c>
      <c r="X360" s="3">
        <v>100.3</v>
      </c>
      <c r="Y360" s="3">
        <v>105.4</v>
      </c>
      <c r="Z360" s="3">
        <v>104.8</v>
      </c>
      <c r="AA360" s="3">
        <v>104.1</v>
      </c>
      <c r="AB360" s="3">
        <v>103.2</v>
      </c>
      <c r="AC360" s="3">
        <v>102.9</v>
      </c>
      <c r="AD360" s="3">
        <v>103.5</v>
      </c>
      <c r="AE360" s="3">
        <v>104.3</v>
      </c>
      <c r="AF360" s="3">
        <v>103.7</v>
      </c>
      <c r="AG360" s="3">
        <v>518.9</v>
      </c>
      <c r="AH360" s="3">
        <v>104</v>
      </c>
      <c r="AI360" s="10" t="str">
        <f t="shared" si="5"/>
        <v>2013 January</v>
      </c>
    </row>
    <row r="361" spans="1:35">
      <c r="A361" t="s">
        <v>34</v>
      </c>
      <c r="B361">
        <v>2013</v>
      </c>
      <c r="C361" t="s">
        <v>31</v>
      </c>
      <c r="D361" s="3">
        <v>108.4</v>
      </c>
      <c r="E361" s="3">
        <v>107.3</v>
      </c>
      <c r="F361" s="3">
        <v>110</v>
      </c>
      <c r="G361" s="3">
        <v>104.4</v>
      </c>
      <c r="H361" s="3">
        <v>105.1</v>
      </c>
      <c r="I361" s="3">
        <v>103.2</v>
      </c>
      <c r="J361" s="3">
        <v>102.2</v>
      </c>
      <c r="K361" s="3">
        <v>106</v>
      </c>
      <c r="L361" s="3">
        <v>106.2</v>
      </c>
      <c r="M361" s="3">
        <v>102.7</v>
      </c>
      <c r="N361" s="3">
        <v>104.9</v>
      </c>
      <c r="O361" s="3">
        <v>107.3</v>
      </c>
      <c r="P361" s="3">
        <v>105.6</v>
      </c>
      <c r="Q361" s="3">
        <v>1373.3000000000002</v>
      </c>
      <c r="R361" s="3">
        <v>105.1</v>
      </c>
      <c r="S361" s="3">
        <v>106.3</v>
      </c>
      <c r="T361" s="3">
        <v>105.5</v>
      </c>
      <c r="U361" s="3">
        <v>106.2</v>
      </c>
      <c r="V361" s="3">
        <v>318</v>
      </c>
      <c r="W361">
        <v>100.3</v>
      </c>
      <c r="X361" s="3">
        <v>100.3</v>
      </c>
      <c r="Y361" s="3">
        <v>105.5</v>
      </c>
      <c r="Z361" s="3">
        <v>104.8</v>
      </c>
      <c r="AA361" s="3">
        <v>104</v>
      </c>
      <c r="AB361" s="3">
        <v>103.2</v>
      </c>
      <c r="AC361" s="3">
        <v>103.1</v>
      </c>
      <c r="AD361" s="3">
        <v>103.6</v>
      </c>
      <c r="AE361" s="3">
        <v>104.5</v>
      </c>
      <c r="AF361" s="3">
        <v>103.9</v>
      </c>
      <c r="AG361" s="3">
        <v>519.5</v>
      </c>
      <c r="AH361" s="3">
        <v>104.6</v>
      </c>
      <c r="AI361" s="10" t="str">
        <f t="shared" si="5"/>
        <v>2013 January</v>
      </c>
    </row>
    <row r="362" spans="1:35">
      <c r="A362" t="s">
        <v>30</v>
      </c>
      <c r="B362">
        <v>2013</v>
      </c>
      <c r="C362" t="s">
        <v>35</v>
      </c>
      <c r="D362" s="3">
        <v>109.2</v>
      </c>
      <c r="E362" s="3">
        <v>108.7</v>
      </c>
      <c r="F362" s="3">
        <v>110.2</v>
      </c>
      <c r="G362" s="3">
        <v>105.4</v>
      </c>
      <c r="H362" s="3">
        <v>106.7</v>
      </c>
      <c r="I362" s="3">
        <v>104</v>
      </c>
      <c r="J362" s="3">
        <v>102.4</v>
      </c>
      <c r="K362" s="3">
        <v>105.9</v>
      </c>
      <c r="L362" s="3">
        <v>105.7</v>
      </c>
      <c r="M362" s="3">
        <v>103.1</v>
      </c>
      <c r="N362" s="3">
        <v>105.1</v>
      </c>
      <c r="O362" s="3">
        <v>107.7</v>
      </c>
      <c r="P362" s="3">
        <v>106.3</v>
      </c>
      <c r="Q362" s="3">
        <v>1380.3999999999999</v>
      </c>
      <c r="R362" s="3">
        <v>105.6</v>
      </c>
      <c r="S362" s="3">
        <v>107.1</v>
      </c>
      <c r="T362" s="3">
        <v>106.3</v>
      </c>
      <c r="U362" s="3">
        <v>107</v>
      </c>
      <c r="V362" s="3">
        <v>320.39999999999998</v>
      </c>
      <c r="W362" t="s">
        <v>32</v>
      </c>
      <c r="X362" s="3">
        <v>105.6</v>
      </c>
      <c r="Y362" s="3">
        <v>106.2</v>
      </c>
      <c r="Z362" s="3">
        <v>105.2</v>
      </c>
      <c r="AA362" s="3">
        <v>104.4</v>
      </c>
      <c r="AB362" s="3">
        <v>103.9</v>
      </c>
      <c r="AC362" s="3">
        <v>104</v>
      </c>
      <c r="AD362" s="3">
        <v>104.1</v>
      </c>
      <c r="AE362" s="3">
        <v>104.6</v>
      </c>
      <c r="AF362" s="3">
        <v>104.4</v>
      </c>
      <c r="AG362" s="3">
        <v>522.1</v>
      </c>
      <c r="AH362" s="3">
        <v>105.8</v>
      </c>
      <c r="AI362" s="10" t="str">
        <f t="shared" si="5"/>
        <v>2013 February</v>
      </c>
    </row>
    <row r="363" spans="1:35">
      <c r="A363" t="s">
        <v>33</v>
      </c>
      <c r="B363">
        <v>2013</v>
      </c>
      <c r="C363" t="s">
        <v>35</v>
      </c>
      <c r="D363" s="3">
        <v>112.9</v>
      </c>
      <c r="E363" s="3">
        <v>112.9</v>
      </c>
      <c r="F363" s="3">
        <v>116.9</v>
      </c>
      <c r="G363" s="3">
        <v>104</v>
      </c>
      <c r="H363" s="3">
        <v>103.5</v>
      </c>
      <c r="I363" s="3">
        <v>103.1</v>
      </c>
      <c r="J363" s="3">
        <v>104.9</v>
      </c>
      <c r="K363" s="3">
        <v>104.1</v>
      </c>
      <c r="L363" s="3">
        <v>103.8</v>
      </c>
      <c r="M363" s="3">
        <v>102.3</v>
      </c>
      <c r="N363" s="3">
        <v>106</v>
      </c>
      <c r="O363" s="3">
        <v>109</v>
      </c>
      <c r="P363" s="3">
        <v>107.2</v>
      </c>
      <c r="Q363" s="3">
        <v>1390.6000000000001</v>
      </c>
      <c r="R363" s="3">
        <v>106</v>
      </c>
      <c r="S363" s="3">
        <v>106.6</v>
      </c>
      <c r="T363" s="3">
        <v>105.5</v>
      </c>
      <c r="U363" s="3">
        <v>106.4</v>
      </c>
      <c r="V363" s="3">
        <v>318.5</v>
      </c>
      <c r="W363">
        <v>100.4</v>
      </c>
      <c r="X363" s="3">
        <v>100.4</v>
      </c>
      <c r="Y363" s="3">
        <v>105.7</v>
      </c>
      <c r="Z363" s="3">
        <v>105.2</v>
      </c>
      <c r="AA363" s="3">
        <v>104.7</v>
      </c>
      <c r="AB363" s="3">
        <v>104.4</v>
      </c>
      <c r="AC363" s="3">
        <v>103.3</v>
      </c>
      <c r="AD363" s="3">
        <v>103.7</v>
      </c>
      <c r="AE363" s="3">
        <v>104.3</v>
      </c>
      <c r="AF363" s="3">
        <v>104.3</v>
      </c>
      <c r="AG363" s="3">
        <v>521.5</v>
      </c>
      <c r="AH363" s="3">
        <v>104.7</v>
      </c>
      <c r="AI363" s="10" t="str">
        <f t="shared" si="5"/>
        <v>2013 February</v>
      </c>
    </row>
    <row r="364" spans="1:35">
      <c r="A364" t="s">
        <v>34</v>
      </c>
      <c r="B364">
        <v>2013</v>
      </c>
      <c r="C364" t="s">
        <v>35</v>
      </c>
      <c r="D364" s="3">
        <v>110.4</v>
      </c>
      <c r="E364" s="3">
        <v>110.2</v>
      </c>
      <c r="F364" s="3">
        <v>112.8</v>
      </c>
      <c r="G364" s="3">
        <v>104.9</v>
      </c>
      <c r="H364" s="3">
        <v>105.5</v>
      </c>
      <c r="I364" s="3">
        <v>103.6</v>
      </c>
      <c r="J364" s="3">
        <v>103.2</v>
      </c>
      <c r="K364" s="3">
        <v>105.3</v>
      </c>
      <c r="L364" s="3">
        <v>105.1</v>
      </c>
      <c r="M364" s="3">
        <v>102.8</v>
      </c>
      <c r="N364" s="3">
        <v>105.5</v>
      </c>
      <c r="O364" s="3">
        <v>108.3</v>
      </c>
      <c r="P364" s="3">
        <v>106.6</v>
      </c>
      <c r="Q364" s="3">
        <v>1384.2</v>
      </c>
      <c r="R364" s="3">
        <v>105.7</v>
      </c>
      <c r="S364" s="3">
        <v>106.9</v>
      </c>
      <c r="T364" s="3">
        <v>106</v>
      </c>
      <c r="U364" s="3">
        <v>106.8</v>
      </c>
      <c r="V364" s="3">
        <v>319.7</v>
      </c>
      <c r="W364">
        <v>100.4</v>
      </c>
      <c r="X364" s="3">
        <v>100.4</v>
      </c>
      <c r="Y364" s="3">
        <v>106</v>
      </c>
      <c r="Z364" s="3">
        <v>105.2</v>
      </c>
      <c r="AA364" s="3">
        <v>104.5</v>
      </c>
      <c r="AB364" s="3">
        <v>104.2</v>
      </c>
      <c r="AC364" s="3">
        <v>103.6</v>
      </c>
      <c r="AD364" s="3">
        <v>103.9</v>
      </c>
      <c r="AE364" s="3">
        <v>104.5</v>
      </c>
      <c r="AF364" s="3">
        <v>104.4</v>
      </c>
      <c r="AG364" s="3">
        <v>521.9</v>
      </c>
      <c r="AH364" s="3">
        <v>105.3</v>
      </c>
      <c r="AI364" s="10" t="str">
        <f t="shared" si="5"/>
        <v>2013 February</v>
      </c>
    </row>
    <row r="365" spans="1:35">
      <c r="A365" t="s">
        <v>30</v>
      </c>
      <c r="B365">
        <v>2013</v>
      </c>
      <c r="C365" t="s">
        <v>46</v>
      </c>
      <c r="D365" s="3">
        <v>118.4</v>
      </c>
      <c r="E365" s="3">
        <v>115.9</v>
      </c>
      <c r="F365" s="3">
        <v>120.4</v>
      </c>
      <c r="G365" s="3">
        <v>113.8</v>
      </c>
      <c r="H365" s="3">
        <v>109.5</v>
      </c>
      <c r="I365" s="3">
        <v>115.5</v>
      </c>
      <c r="J365" s="3">
        <v>145.69999999999999</v>
      </c>
      <c r="K365" s="3">
        <v>109.5</v>
      </c>
      <c r="L365" s="3">
        <v>102.9</v>
      </c>
      <c r="M365" s="3">
        <v>109.8</v>
      </c>
      <c r="N365" s="3">
        <v>112.1</v>
      </c>
      <c r="O365" s="3">
        <v>116.8</v>
      </c>
      <c r="P365" s="3">
        <v>118.7</v>
      </c>
      <c r="Q365" s="3">
        <v>1509</v>
      </c>
      <c r="R365" s="3">
        <v>113.6</v>
      </c>
      <c r="S365" s="3">
        <v>115.8</v>
      </c>
      <c r="T365" s="3">
        <v>114</v>
      </c>
      <c r="U365" s="3">
        <v>115.5</v>
      </c>
      <c r="V365" s="3">
        <v>345.3</v>
      </c>
      <c r="W365" t="s">
        <v>32</v>
      </c>
      <c r="X365" s="3">
        <v>105.6</v>
      </c>
      <c r="Y365" s="3">
        <v>112.8</v>
      </c>
      <c r="Z365" s="3">
        <v>112.1</v>
      </c>
      <c r="AA365" s="3">
        <v>110.1</v>
      </c>
      <c r="AB365" s="3">
        <v>109.9</v>
      </c>
      <c r="AC365" s="3">
        <v>109.2</v>
      </c>
      <c r="AD365" s="3">
        <v>111.6</v>
      </c>
      <c r="AE365" s="3">
        <v>108.1</v>
      </c>
      <c r="AF365" s="3">
        <v>110.1</v>
      </c>
      <c r="AG365" s="3">
        <v>549.4</v>
      </c>
      <c r="AH365" s="3">
        <v>115.5</v>
      </c>
      <c r="AI365" s="10" t="str">
        <f t="shared" si="5"/>
        <v>2013 December</v>
      </c>
    </row>
    <row r="366" spans="1:35">
      <c r="A366" t="s">
        <v>33</v>
      </c>
      <c r="B366">
        <v>2013</v>
      </c>
      <c r="C366" t="s">
        <v>46</v>
      </c>
      <c r="D366" s="3">
        <v>120.5</v>
      </c>
      <c r="E366" s="3">
        <v>118.1</v>
      </c>
      <c r="F366" s="3">
        <v>128.5</v>
      </c>
      <c r="G366" s="3">
        <v>112.8</v>
      </c>
      <c r="H366" s="3">
        <v>103.4</v>
      </c>
      <c r="I366" s="3">
        <v>110.7</v>
      </c>
      <c r="J366" s="3">
        <v>144.80000000000001</v>
      </c>
      <c r="K366" s="3">
        <v>107.1</v>
      </c>
      <c r="L366" s="3">
        <v>98.6</v>
      </c>
      <c r="M366" s="3">
        <v>111.9</v>
      </c>
      <c r="N366" s="3">
        <v>112.1</v>
      </c>
      <c r="O366" s="3">
        <v>118.1</v>
      </c>
      <c r="P366" s="3">
        <v>117.8</v>
      </c>
      <c r="Q366" s="3">
        <v>1504.4</v>
      </c>
      <c r="R366" s="3">
        <v>115</v>
      </c>
      <c r="S366" s="3">
        <v>114.2</v>
      </c>
      <c r="T366" s="3">
        <v>110.9</v>
      </c>
      <c r="U366" s="3">
        <v>113.7</v>
      </c>
      <c r="V366" s="3">
        <v>338.8</v>
      </c>
      <c r="W366">
        <v>110.7</v>
      </c>
      <c r="X366" s="3">
        <v>110.7</v>
      </c>
      <c r="Y366" s="3">
        <v>110.4</v>
      </c>
      <c r="Z366" s="3">
        <v>111.3</v>
      </c>
      <c r="AA366" s="3">
        <v>109</v>
      </c>
      <c r="AB366" s="3">
        <v>109.7</v>
      </c>
      <c r="AC366" s="3">
        <v>108.9</v>
      </c>
      <c r="AD366" s="3">
        <v>111.4</v>
      </c>
      <c r="AE366" s="3">
        <v>107.7</v>
      </c>
      <c r="AF366" s="3">
        <v>109.8</v>
      </c>
      <c r="AG366" s="3">
        <v>547.4</v>
      </c>
      <c r="AH366" s="3">
        <v>113.3</v>
      </c>
      <c r="AI366" s="10" t="str">
        <f t="shared" si="5"/>
        <v>2013 December</v>
      </c>
    </row>
    <row r="367" spans="1:35">
      <c r="A367" t="s">
        <v>34</v>
      </c>
      <c r="B367">
        <v>2013</v>
      </c>
      <c r="C367" t="s">
        <v>46</v>
      </c>
      <c r="D367" s="3">
        <v>119.1</v>
      </c>
      <c r="E367" s="3">
        <v>116.7</v>
      </c>
      <c r="F367" s="3">
        <v>123.5</v>
      </c>
      <c r="G367" s="3">
        <v>113.4</v>
      </c>
      <c r="H367" s="3">
        <v>107.3</v>
      </c>
      <c r="I367" s="3">
        <v>113.3</v>
      </c>
      <c r="J367" s="3">
        <v>145.4</v>
      </c>
      <c r="K367" s="3">
        <v>108.7</v>
      </c>
      <c r="L367" s="3">
        <v>101.5</v>
      </c>
      <c r="M367" s="3">
        <v>110.5</v>
      </c>
      <c r="N367" s="3">
        <v>112.1</v>
      </c>
      <c r="O367" s="3">
        <v>117.4</v>
      </c>
      <c r="P367" s="3">
        <v>118.4</v>
      </c>
      <c r="Q367" s="3">
        <v>1507.3000000000002</v>
      </c>
      <c r="R367" s="3">
        <v>114</v>
      </c>
      <c r="S367" s="3">
        <v>115.2</v>
      </c>
      <c r="T367" s="3">
        <v>112.7</v>
      </c>
      <c r="U367" s="3">
        <v>114.8</v>
      </c>
      <c r="V367" s="3">
        <v>342.7</v>
      </c>
      <c r="W367">
        <v>110.7</v>
      </c>
      <c r="X367" s="3">
        <v>110.7</v>
      </c>
      <c r="Y367" s="3">
        <v>111.9</v>
      </c>
      <c r="Z367" s="3">
        <v>111.7</v>
      </c>
      <c r="AA367" s="3">
        <v>109.7</v>
      </c>
      <c r="AB367" s="3">
        <v>109.8</v>
      </c>
      <c r="AC367" s="3">
        <v>109</v>
      </c>
      <c r="AD367" s="3">
        <v>111.5</v>
      </c>
      <c r="AE367" s="3">
        <v>107.9</v>
      </c>
      <c r="AF367" s="3">
        <v>110</v>
      </c>
      <c r="AG367" s="3">
        <v>548.4</v>
      </c>
      <c r="AH367" s="3">
        <v>114.5</v>
      </c>
      <c r="AI367" s="10" t="str">
        <f t="shared" si="5"/>
        <v>2013 December</v>
      </c>
    </row>
    <row r="368" spans="1:35">
      <c r="A368" t="s">
        <v>30</v>
      </c>
      <c r="B368">
        <v>2013</v>
      </c>
      <c r="C368" t="s">
        <v>41</v>
      </c>
      <c r="D368" s="3">
        <v>114.3</v>
      </c>
      <c r="E368" s="3">
        <v>115.4</v>
      </c>
      <c r="F368" s="3">
        <v>111.1</v>
      </c>
      <c r="G368" s="3">
        <v>110</v>
      </c>
      <c r="H368" s="3">
        <v>106.4</v>
      </c>
      <c r="I368" s="3">
        <v>110.8</v>
      </c>
      <c r="J368" s="3">
        <v>138.9</v>
      </c>
      <c r="K368" s="3">
        <v>107.4</v>
      </c>
      <c r="L368" s="3">
        <v>104.1</v>
      </c>
      <c r="M368" s="3">
        <v>106.9</v>
      </c>
      <c r="N368" s="3">
        <v>109.7</v>
      </c>
      <c r="O368" s="3">
        <v>112.6</v>
      </c>
      <c r="P368" s="3">
        <v>114.9</v>
      </c>
      <c r="Q368" s="3">
        <v>1462.5</v>
      </c>
      <c r="R368" s="3">
        <v>110.7</v>
      </c>
      <c r="S368" s="3">
        <v>111.3</v>
      </c>
      <c r="T368" s="3">
        <v>110.2</v>
      </c>
      <c r="U368" s="3">
        <v>111.1</v>
      </c>
      <c r="V368" s="3">
        <v>332.6</v>
      </c>
      <c r="W368" t="s">
        <v>32</v>
      </c>
      <c r="X368" s="3">
        <v>105.6</v>
      </c>
      <c r="Y368" s="3">
        <v>109.9</v>
      </c>
      <c r="Z368" s="3">
        <v>108.7</v>
      </c>
      <c r="AA368" s="3">
        <v>107.5</v>
      </c>
      <c r="AB368" s="3">
        <v>107.8</v>
      </c>
      <c r="AC368" s="3">
        <v>106.8</v>
      </c>
      <c r="AD368" s="3">
        <v>108.7</v>
      </c>
      <c r="AE368" s="3">
        <v>105</v>
      </c>
      <c r="AF368" s="3">
        <v>107.5</v>
      </c>
      <c r="AG368" s="3">
        <v>535.79999999999995</v>
      </c>
      <c r="AH368" s="3">
        <v>112.1</v>
      </c>
      <c r="AI368" s="10" t="str">
        <f t="shared" si="5"/>
        <v>2013 August</v>
      </c>
    </row>
    <row r="369" spans="1:35">
      <c r="A369" t="s">
        <v>33</v>
      </c>
      <c r="B369">
        <v>2013</v>
      </c>
      <c r="C369" t="s">
        <v>41</v>
      </c>
      <c r="D369" s="3">
        <v>118.3</v>
      </c>
      <c r="E369" s="3">
        <v>120.4</v>
      </c>
      <c r="F369" s="3">
        <v>112.7</v>
      </c>
      <c r="G369" s="3">
        <v>108.9</v>
      </c>
      <c r="H369" s="3">
        <v>101.1</v>
      </c>
      <c r="I369" s="3">
        <v>108.7</v>
      </c>
      <c r="J369" s="3">
        <v>177</v>
      </c>
      <c r="K369" s="3">
        <v>104.7</v>
      </c>
      <c r="L369" s="3">
        <v>101</v>
      </c>
      <c r="M369" s="3">
        <v>108.5</v>
      </c>
      <c r="N369" s="3">
        <v>110.9</v>
      </c>
      <c r="O369" s="3">
        <v>114.3</v>
      </c>
      <c r="P369" s="3">
        <v>119.6</v>
      </c>
      <c r="Q369" s="3">
        <v>1506.1000000000001</v>
      </c>
      <c r="R369" s="3">
        <v>112.4</v>
      </c>
      <c r="S369" s="3">
        <v>110.6</v>
      </c>
      <c r="T369" s="3">
        <v>108.3</v>
      </c>
      <c r="U369" s="3">
        <v>110.2</v>
      </c>
      <c r="V369" s="3">
        <v>329.09999999999997</v>
      </c>
      <c r="W369">
        <v>108.9</v>
      </c>
      <c r="X369" s="3">
        <v>108.9</v>
      </c>
      <c r="Y369" s="3">
        <v>109.3</v>
      </c>
      <c r="Z369" s="3">
        <v>108.7</v>
      </c>
      <c r="AA369" s="3">
        <v>107.6</v>
      </c>
      <c r="AB369" s="3">
        <v>108.1</v>
      </c>
      <c r="AC369" s="3">
        <v>106.5</v>
      </c>
      <c r="AD369" s="3">
        <v>110.8</v>
      </c>
      <c r="AE369" s="3">
        <v>106</v>
      </c>
      <c r="AF369" s="3">
        <v>108.3</v>
      </c>
      <c r="AG369" s="3">
        <v>537.6</v>
      </c>
      <c r="AH369" s="3">
        <v>112.7</v>
      </c>
      <c r="AI369" s="10" t="str">
        <f t="shared" si="5"/>
        <v>2013 August</v>
      </c>
    </row>
    <row r="370" spans="1:35">
      <c r="A370" t="s">
        <v>34</v>
      </c>
      <c r="B370">
        <v>2013</v>
      </c>
      <c r="C370" t="s">
        <v>41</v>
      </c>
      <c r="D370" s="3">
        <v>115.6</v>
      </c>
      <c r="E370" s="3">
        <v>117.2</v>
      </c>
      <c r="F370" s="3">
        <v>111.7</v>
      </c>
      <c r="G370" s="3">
        <v>109.6</v>
      </c>
      <c r="H370" s="3">
        <v>104.5</v>
      </c>
      <c r="I370" s="3">
        <v>109.8</v>
      </c>
      <c r="J370" s="3">
        <v>151.80000000000001</v>
      </c>
      <c r="K370" s="3">
        <v>106.5</v>
      </c>
      <c r="L370" s="3">
        <v>103.1</v>
      </c>
      <c r="M370" s="3">
        <v>107.4</v>
      </c>
      <c r="N370" s="3">
        <v>110.2</v>
      </c>
      <c r="O370" s="3">
        <v>113.4</v>
      </c>
      <c r="P370" s="3">
        <v>116.6</v>
      </c>
      <c r="Q370" s="3">
        <v>1477.4</v>
      </c>
      <c r="R370" s="3">
        <v>111.2</v>
      </c>
      <c r="S370" s="3">
        <v>111</v>
      </c>
      <c r="T370" s="3">
        <v>109.4</v>
      </c>
      <c r="U370" s="3">
        <v>110.7</v>
      </c>
      <c r="V370" s="3">
        <v>331.1</v>
      </c>
      <c r="W370">
        <v>108.9</v>
      </c>
      <c r="X370" s="3">
        <v>108.9</v>
      </c>
      <c r="Y370" s="3">
        <v>109.7</v>
      </c>
      <c r="Z370" s="3">
        <v>108.7</v>
      </c>
      <c r="AA370" s="3">
        <v>107.5</v>
      </c>
      <c r="AB370" s="3">
        <v>108</v>
      </c>
      <c r="AC370" s="3">
        <v>106.6</v>
      </c>
      <c r="AD370" s="3">
        <v>109.9</v>
      </c>
      <c r="AE370" s="3">
        <v>105.4</v>
      </c>
      <c r="AF370" s="3">
        <v>107.9</v>
      </c>
      <c r="AG370" s="3">
        <v>536.59999999999991</v>
      </c>
      <c r="AH370" s="3">
        <v>112.4</v>
      </c>
      <c r="AI370" s="10" t="str">
        <f t="shared" si="5"/>
        <v>2013 August</v>
      </c>
    </row>
    <row r="371" spans="1:35">
      <c r="A371" t="s">
        <v>30</v>
      </c>
      <c r="B371">
        <v>2013</v>
      </c>
      <c r="C371" t="s">
        <v>37</v>
      </c>
      <c r="D371" s="3">
        <v>110.2</v>
      </c>
      <c r="E371" s="3">
        <v>109.5</v>
      </c>
      <c r="F371" s="3">
        <v>106.9</v>
      </c>
      <c r="G371" s="3">
        <v>106.3</v>
      </c>
      <c r="H371" s="3">
        <v>105.7</v>
      </c>
      <c r="I371" s="3">
        <v>108.3</v>
      </c>
      <c r="J371" s="3">
        <v>103.4</v>
      </c>
      <c r="K371" s="3">
        <v>105.7</v>
      </c>
      <c r="L371" s="3">
        <v>104.2</v>
      </c>
      <c r="M371" s="3">
        <v>103.2</v>
      </c>
      <c r="N371" s="3">
        <v>106.5</v>
      </c>
      <c r="O371" s="3">
        <v>108.8</v>
      </c>
      <c r="P371" s="3">
        <v>107.1</v>
      </c>
      <c r="Q371" s="3">
        <v>1385.8</v>
      </c>
      <c r="R371" s="3">
        <v>107.1</v>
      </c>
      <c r="S371" s="3">
        <v>108.1</v>
      </c>
      <c r="T371" s="3">
        <v>107.4</v>
      </c>
      <c r="U371" s="3">
        <v>108</v>
      </c>
      <c r="V371" s="3">
        <v>323.5</v>
      </c>
      <c r="W371" t="s">
        <v>32</v>
      </c>
      <c r="X371" s="3">
        <v>105.6</v>
      </c>
      <c r="Y371" s="3">
        <v>106.5</v>
      </c>
      <c r="Z371" s="3">
        <v>106.1</v>
      </c>
      <c r="AA371" s="3">
        <v>105.1</v>
      </c>
      <c r="AB371" s="3">
        <v>104.4</v>
      </c>
      <c r="AC371" s="3">
        <v>104.5</v>
      </c>
      <c r="AD371" s="3">
        <v>104.8</v>
      </c>
      <c r="AE371" s="3">
        <v>102.7</v>
      </c>
      <c r="AF371" s="3">
        <v>104.6</v>
      </c>
      <c r="AG371" s="3">
        <v>522.29999999999995</v>
      </c>
      <c r="AH371" s="3">
        <v>106.4</v>
      </c>
      <c r="AI371" s="10" t="str">
        <f t="shared" si="5"/>
        <v>2013 April</v>
      </c>
    </row>
    <row r="372" spans="1:35">
      <c r="A372" t="s">
        <v>33</v>
      </c>
      <c r="B372">
        <v>2013</v>
      </c>
      <c r="C372" t="s">
        <v>37</v>
      </c>
      <c r="D372" s="3">
        <v>114.6</v>
      </c>
      <c r="E372" s="3">
        <v>113.4</v>
      </c>
      <c r="F372" s="3">
        <v>106</v>
      </c>
      <c r="G372" s="3">
        <v>104.7</v>
      </c>
      <c r="H372" s="3">
        <v>102.1</v>
      </c>
      <c r="I372" s="3">
        <v>109.5</v>
      </c>
      <c r="J372" s="3">
        <v>109.7</v>
      </c>
      <c r="K372" s="3">
        <v>104.6</v>
      </c>
      <c r="L372" s="3">
        <v>102</v>
      </c>
      <c r="M372" s="3">
        <v>103.5</v>
      </c>
      <c r="N372" s="3">
        <v>108.2</v>
      </c>
      <c r="O372" s="3">
        <v>110.6</v>
      </c>
      <c r="P372" s="3">
        <v>108.8</v>
      </c>
      <c r="Q372" s="3">
        <v>1397.6999999999998</v>
      </c>
      <c r="R372" s="3">
        <v>108.5</v>
      </c>
      <c r="S372" s="3">
        <v>107.9</v>
      </c>
      <c r="T372" s="3">
        <v>106.4</v>
      </c>
      <c r="U372" s="3">
        <v>107.7</v>
      </c>
      <c r="V372" s="3">
        <v>322</v>
      </c>
      <c r="W372">
        <v>100.5</v>
      </c>
      <c r="X372" s="3">
        <v>100.5</v>
      </c>
      <c r="Y372" s="3">
        <v>106.4</v>
      </c>
      <c r="Z372" s="3">
        <v>106.5</v>
      </c>
      <c r="AA372" s="3">
        <v>105.7</v>
      </c>
      <c r="AB372" s="3">
        <v>105</v>
      </c>
      <c r="AC372" s="3">
        <v>104</v>
      </c>
      <c r="AD372" s="3">
        <v>105.2</v>
      </c>
      <c r="AE372" s="3">
        <v>103.2</v>
      </c>
      <c r="AF372" s="3">
        <v>105.1</v>
      </c>
      <c r="AG372" s="3">
        <v>523.79999999999995</v>
      </c>
      <c r="AH372" s="3">
        <v>105.7</v>
      </c>
      <c r="AI372" s="10" t="str">
        <f t="shared" si="5"/>
        <v>2013 April</v>
      </c>
    </row>
    <row r="373" spans="1:35">
      <c r="A373" t="s">
        <v>34</v>
      </c>
      <c r="B373">
        <v>2013</v>
      </c>
      <c r="C373" t="s">
        <v>37</v>
      </c>
      <c r="D373" s="3">
        <v>111.6</v>
      </c>
      <c r="E373" s="3">
        <v>110.9</v>
      </c>
      <c r="F373" s="3">
        <v>106.6</v>
      </c>
      <c r="G373" s="3">
        <v>105.7</v>
      </c>
      <c r="H373" s="3">
        <v>104.4</v>
      </c>
      <c r="I373" s="3">
        <v>108.9</v>
      </c>
      <c r="J373" s="3">
        <v>105.5</v>
      </c>
      <c r="K373" s="3">
        <v>105.3</v>
      </c>
      <c r="L373" s="3">
        <v>103.5</v>
      </c>
      <c r="M373" s="3">
        <v>103.3</v>
      </c>
      <c r="N373" s="3">
        <v>107.2</v>
      </c>
      <c r="O373" s="3">
        <v>109.6</v>
      </c>
      <c r="P373" s="3">
        <v>107.7</v>
      </c>
      <c r="Q373" s="3">
        <v>1390.2</v>
      </c>
      <c r="R373" s="3">
        <v>107.5</v>
      </c>
      <c r="S373" s="3">
        <v>108</v>
      </c>
      <c r="T373" s="3">
        <v>107</v>
      </c>
      <c r="U373" s="3">
        <v>107.9</v>
      </c>
      <c r="V373" s="3">
        <v>322.89999999999998</v>
      </c>
      <c r="W373">
        <v>100.5</v>
      </c>
      <c r="X373" s="3">
        <v>100.5</v>
      </c>
      <c r="Y373" s="3">
        <v>106.5</v>
      </c>
      <c r="Z373" s="3">
        <v>106.3</v>
      </c>
      <c r="AA373" s="3">
        <v>105.3</v>
      </c>
      <c r="AB373" s="3">
        <v>104.7</v>
      </c>
      <c r="AC373" s="3">
        <v>104.2</v>
      </c>
      <c r="AD373" s="3">
        <v>105</v>
      </c>
      <c r="AE373" s="3">
        <v>102.9</v>
      </c>
      <c r="AF373" s="3">
        <v>104.8</v>
      </c>
      <c r="AG373" s="3">
        <v>522.9</v>
      </c>
      <c r="AH373" s="3">
        <v>106.1</v>
      </c>
      <c r="AI373" s="10" t="str">
        <f t="shared" si="5"/>
        <v>2013 April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61A8-1243-4FF5-8D62-5EE4EFF356C4}">
  <dimension ref="B3:D31"/>
  <sheetViews>
    <sheetView topLeftCell="A15" workbookViewId="0">
      <selection activeCell="F22" sqref="F22"/>
    </sheetView>
  </sheetViews>
  <sheetFormatPr defaultRowHeight="14.4"/>
  <cols>
    <col min="3" max="3" width="12.33203125" customWidth="1"/>
    <col min="4" max="4" width="28.6640625" customWidth="1"/>
  </cols>
  <sheetData>
    <row r="3" spans="2:4">
      <c r="B3">
        <v>1</v>
      </c>
      <c r="C3" t="s">
        <v>50</v>
      </c>
    </row>
    <row r="4" spans="2:4">
      <c r="B4">
        <v>2</v>
      </c>
      <c r="C4" t="s">
        <v>51</v>
      </c>
    </row>
    <row r="5" spans="2:4">
      <c r="B5">
        <v>3</v>
      </c>
      <c r="C5" s="105" t="s">
        <v>49</v>
      </c>
      <c r="D5" t="s">
        <v>3</v>
      </c>
    </row>
    <row r="6" spans="2:4">
      <c r="C6" s="105"/>
      <c r="D6" t="s">
        <v>4</v>
      </c>
    </row>
    <row r="7" spans="2:4">
      <c r="C7" s="105"/>
      <c r="D7" t="s">
        <v>5</v>
      </c>
    </row>
    <row r="8" spans="2:4">
      <c r="C8" s="105"/>
      <c r="D8" t="s">
        <v>6</v>
      </c>
    </row>
    <row r="9" spans="2:4">
      <c r="C9" s="105"/>
      <c r="D9" t="s">
        <v>7</v>
      </c>
    </row>
    <row r="10" spans="2:4">
      <c r="C10" s="105"/>
      <c r="D10" t="s">
        <v>8</v>
      </c>
    </row>
    <row r="11" spans="2:4">
      <c r="C11" s="105"/>
      <c r="D11" t="s">
        <v>9</v>
      </c>
    </row>
    <row r="12" spans="2:4">
      <c r="C12" s="105"/>
      <c r="D12" t="s">
        <v>10</v>
      </c>
    </row>
    <row r="13" spans="2:4">
      <c r="C13" s="105"/>
      <c r="D13" t="s">
        <v>11</v>
      </c>
    </row>
    <row r="14" spans="2:4">
      <c r="C14" s="105"/>
      <c r="D14" t="s">
        <v>12</v>
      </c>
    </row>
    <row r="15" spans="2:4">
      <c r="C15" s="105"/>
      <c r="D15" t="s">
        <v>13</v>
      </c>
    </row>
    <row r="16" spans="2:4">
      <c r="C16" s="105"/>
      <c r="D16" t="s">
        <v>14</v>
      </c>
    </row>
    <row r="17" spans="2:4">
      <c r="C17" s="105"/>
      <c r="D17" t="s">
        <v>15</v>
      </c>
    </row>
    <row r="18" spans="2:4">
      <c r="B18">
        <v>4</v>
      </c>
      <c r="C18" s="7" t="s">
        <v>53</v>
      </c>
      <c r="D18" t="s">
        <v>16</v>
      </c>
    </row>
    <row r="19" spans="2:4">
      <c r="B19">
        <v>5</v>
      </c>
      <c r="C19" s="105" t="s">
        <v>52</v>
      </c>
      <c r="D19" t="s">
        <v>17</v>
      </c>
    </row>
    <row r="20" spans="2:4">
      <c r="C20" s="105"/>
      <c r="D20" t="s">
        <v>18</v>
      </c>
    </row>
    <row r="21" spans="2:4">
      <c r="C21" s="105"/>
      <c r="D21" t="s">
        <v>19</v>
      </c>
    </row>
    <row r="22" spans="2:4">
      <c r="B22">
        <v>6</v>
      </c>
      <c r="C22" s="7" t="s">
        <v>20</v>
      </c>
      <c r="D22" t="s">
        <v>20</v>
      </c>
    </row>
    <row r="23" spans="2:4">
      <c r="B23">
        <v>7</v>
      </c>
      <c r="C23" s="7" t="s">
        <v>54</v>
      </c>
      <c r="D23" t="s">
        <v>21</v>
      </c>
    </row>
    <row r="24" spans="2:4">
      <c r="B24">
        <v>8</v>
      </c>
      <c r="C24" s="7" t="s">
        <v>23</v>
      </c>
      <c r="D24" t="s">
        <v>23</v>
      </c>
    </row>
    <row r="25" spans="2:4">
      <c r="B25">
        <v>9</v>
      </c>
      <c r="C25" s="7" t="s">
        <v>26</v>
      </c>
      <c r="D25" t="s">
        <v>26</v>
      </c>
    </row>
    <row r="26" spans="2:4">
      <c r="B26">
        <v>10</v>
      </c>
      <c r="C26" s="106" t="s">
        <v>28</v>
      </c>
      <c r="D26" t="s">
        <v>22</v>
      </c>
    </row>
    <row r="27" spans="2:4">
      <c r="C27" s="106"/>
      <c r="D27" t="s">
        <v>24</v>
      </c>
    </row>
    <row r="28" spans="2:4">
      <c r="C28" s="106"/>
      <c r="D28" t="s">
        <v>25</v>
      </c>
    </row>
    <row r="29" spans="2:4">
      <c r="C29" s="106"/>
      <c r="D29" t="s">
        <v>27</v>
      </c>
    </row>
    <row r="30" spans="2:4">
      <c r="C30" s="106"/>
      <c r="D30" t="s">
        <v>28</v>
      </c>
    </row>
    <row r="31" spans="2:4">
      <c r="B31">
        <v>11</v>
      </c>
      <c r="C31" t="s">
        <v>192</v>
      </c>
    </row>
  </sheetData>
  <mergeCells count="3">
    <mergeCell ref="C5:C17"/>
    <mergeCell ref="C19:C21"/>
    <mergeCell ref="C26:C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FC39-F236-49C1-85F2-35D5314F53FF}">
  <dimension ref="A1"/>
  <sheetViews>
    <sheetView showGridLines="0" topLeftCell="A30" zoomScaleNormal="100" workbookViewId="0">
      <selection activeCell="P69" sqref="P69"/>
    </sheetView>
  </sheetViews>
  <sheetFormatPr defaultRowHeight="14.4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A4B4-B6DD-451B-81B1-F33A057C1FA1}">
  <dimension ref="C7:AE67"/>
  <sheetViews>
    <sheetView showGridLines="0" tabSelected="1" topLeftCell="AI25" zoomScale="56" zoomScaleNormal="95" workbookViewId="0">
      <selection activeCell="AE84" sqref="AE84"/>
    </sheetView>
  </sheetViews>
  <sheetFormatPr defaultRowHeight="14.4"/>
  <cols>
    <col min="22" max="22" width="12.77734375" bestFit="1" customWidth="1"/>
    <col min="25" max="25" width="15.44140625" bestFit="1" customWidth="1"/>
    <col min="26" max="26" width="10.77734375" customWidth="1"/>
    <col min="28" max="28" width="12.77734375" bestFit="1" customWidth="1"/>
  </cols>
  <sheetData>
    <row r="7" spans="3:12" ht="14.4" customHeight="1"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3:12" ht="14.4" customHeight="1">
      <c r="C8" s="56"/>
      <c r="D8" s="56"/>
      <c r="E8" s="56"/>
      <c r="F8" s="56"/>
      <c r="G8" s="56"/>
      <c r="H8" s="56"/>
      <c r="I8" s="56"/>
      <c r="J8" s="56"/>
      <c r="K8" s="56"/>
      <c r="L8" s="56"/>
    </row>
    <row r="9" spans="3:12" ht="14.4" customHeight="1">
      <c r="C9" s="56"/>
      <c r="D9" s="56"/>
      <c r="E9" s="56"/>
      <c r="F9" s="55"/>
      <c r="G9" s="56"/>
      <c r="H9" s="56"/>
      <c r="I9" s="56"/>
      <c r="J9" s="56"/>
      <c r="K9" s="56"/>
      <c r="L9" s="56"/>
    </row>
    <row r="40" spans="20:28">
      <c r="U40" s="7"/>
      <c r="V40" s="7"/>
      <c r="W40" s="7"/>
      <c r="X40" s="7"/>
      <c r="Y40" s="7"/>
      <c r="Z40" s="7"/>
      <c r="AA40" s="7"/>
      <c r="AB40" s="7"/>
    </row>
    <row r="41" spans="20:28">
      <c r="T41" s="7"/>
      <c r="U41" s="63"/>
      <c r="V41" s="63"/>
      <c r="W41" s="63"/>
      <c r="X41" s="63"/>
      <c r="Y41" s="63"/>
      <c r="Z41" s="63"/>
      <c r="AA41" s="63"/>
      <c r="AB41" s="63"/>
    </row>
    <row r="42" spans="20:28">
      <c r="T42" s="7"/>
      <c r="U42" s="63"/>
      <c r="V42" s="63"/>
      <c r="W42" s="63"/>
      <c r="X42" s="63"/>
      <c r="Y42" s="63"/>
      <c r="Z42" s="63"/>
      <c r="AA42" s="63"/>
      <c r="AB42" s="63"/>
    </row>
    <row r="43" spans="20:28">
      <c r="T43" s="7"/>
      <c r="U43" s="63"/>
      <c r="V43" s="63"/>
      <c r="W43" s="63"/>
      <c r="X43" s="63"/>
      <c r="Y43" s="63"/>
      <c r="Z43" s="63"/>
      <c r="AA43" s="63"/>
      <c r="AB43" s="63"/>
    </row>
    <row r="49" spans="23:31">
      <c r="X49" s="7"/>
      <c r="Y49" s="7"/>
      <c r="Z49" s="7"/>
      <c r="AA49" s="7"/>
      <c r="AB49" s="7"/>
      <c r="AC49" s="7"/>
      <c r="AD49" s="7"/>
      <c r="AE49" s="7"/>
    </row>
    <row r="50" spans="23:31">
      <c r="W50" s="7"/>
      <c r="X50" s="63"/>
      <c r="Y50" s="63"/>
      <c r="Z50" s="63"/>
      <c r="AA50" s="63"/>
      <c r="AB50" s="63"/>
      <c r="AC50" s="63"/>
      <c r="AD50" s="63"/>
      <c r="AE50" s="63"/>
    </row>
    <row r="51" spans="23:31">
      <c r="W51" s="7"/>
      <c r="X51" s="63"/>
      <c r="Y51" s="63"/>
      <c r="Z51" s="63"/>
      <c r="AA51" s="63"/>
      <c r="AB51" s="63"/>
      <c r="AC51" s="63"/>
      <c r="AD51" s="63"/>
      <c r="AE51" s="63"/>
    </row>
    <row r="52" spans="23:31">
      <c r="W52" s="7"/>
      <c r="X52" s="63"/>
      <c r="Y52" s="63"/>
      <c r="Z52" s="63"/>
      <c r="AA52" s="63"/>
      <c r="AB52" s="63"/>
      <c r="AC52" s="63"/>
      <c r="AD52" s="63"/>
      <c r="AE52" s="63"/>
    </row>
    <row r="67" ht="1.2" customHeight="1"/>
  </sheetData>
  <conditionalFormatting sqref="U41:AB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2:AB4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:AB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:AE5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1:AE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2:AE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EAAC-DE03-4593-8424-45F59D55AFEE}">
  <dimension ref="C3:Y55"/>
  <sheetViews>
    <sheetView workbookViewId="0">
      <selection activeCell="E11" sqref="E11"/>
    </sheetView>
  </sheetViews>
  <sheetFormatPr defaultRowHeight="14.4"/>
  <cols>
    <col min="3" max="3" width="12.5546875" bestFit="1" customWidth="1"/>
    <col min="5" max="5" width="10.33203125" customWidth="1"/>
    <col min="10" max="10" width="11.77734375" customWidth="1"/>
    <col min="11" max="11" width="12.77734375" customWidth="1"/>
  </cols>
  <sheetData>
    <row r="3" spans="3:25" ht="29.4" customHeight="1">
      <c r="C3" s="11"/>
      <c r="D3" s="53" t="s">
        <v>49</v>
      </c>
      <c r="E3" s="1" t="s">
        <v>16</v>
      </c>
      <c r="F3" s="53" t="s">
        <v>52</v>
      </c>
      <c r="G3" s="1" t="s">
        <v>20</v>
      </c>
      <c r="H3" s="1" t="s">
        <v>21</v>
      </c>
      <c r="I3" s="1" t="s">
        <v>23</v>
      </c>
      <c r="J3" s="1" t="s">
        <v>26</v>
      </c>
      <c r="K3" s="1" t="s">
        <v>28</v>
      </c>
      <c r="L3" s="1" t="s">
        <v>56</v>
      </c>
    </row>
    <row r="4" spans="3:25">
      <c r="C4" s="54" t="s">
        <v>30</v>
      </c>
      <c r="D4" s="12">
        <v>2290.7000000000007</v>
      </c>
      <c r="E4" s="12">
        <v>199.9</v>
      </c>
      <c r="F4" s="12">
        <v>569.90000000000009</v>
      </c>
      <c r="G4" s="12">
        <v>174</v>
      </c>
      <c r="H4" s="12">
        <v>182.5</v>
      </c>
      <c r="I4" s="12">
        <v>187.8</v>
      </c>
      <c r="J4" s="12">
        <v>180.3</v>
      </c>
      <c r="K4" s="12">
        <v>887.69999999999993</v>
      </c>
      <c r="L4" s="12">
        <f>SUM(D4:K4)</f>
        <v>4672.8000000000011</v>
      </c>
    </row>
    <row r="5" spans="3:25">
      <c r="C5" s="54" t="s">
        <v>33</v>
      </c>
      <c r="D5" s="12">
        <v>2335.1</v>
      </c>
      <c r="E5" s="12">
        <v>204.2</v>
      </c>
      <c r="F5" s="12">
        <v>528.70000000000005</v>
      </c>
      <c r="G5" s="12">
        <v>175.6</v>
      </c>
      <c r="H5" s="12">
        <v>183.4</v>
      </c>
      <c r="I5" s="12">
        <v>182.2</v>
      </c>
      <c r="J5" s="12">
        <v>174.8</v>
      </c>
      <c r="K5" s="12">
        <v>856.9</v>
      </c>
      <c r="L5" s="12">
        <f t="shared" ref="L5:L6" si="0">SUM(D5:K5)</f>
        <v>4640.8999999999996</v>
      </c>
    </row>
    <row r="6" spans="3:25">
      <c r="C6" s="54" t="s">
        <v>34</v>
      </c>
      <c r="D6" s="12">
        <v>2306.9</v>
      </c>
      <c r="E6" s="12">
        <v>201</v>
      </c>
      <c r="F6" s="12">
        <v>553.20000000000005</v>
      </c>
      <c r="G6" s="12">
        <v>175.6</v>
      </c>
      <c r="H6" s="12">
        <v>182.8</v>
      </c>
      <c r="I6" s="12">
        <v>185.7</v>
      </c>
      <c r="J6" s="12">
        <v>177.1</v>
      </c>
      <c r="K6" s="12">
        <v>872.09999999999991</v>
      </c>
      <c r="L6" s="12">
        <f t="shared" si="0"/>
        <v>4654.3999999999996</v>
      </c>
    </row>
    <row r="10" spans="3:25" ht="34.799999999999997" customHeight="1">
      <c r="C10" s="11"/>
      <c r="D10" s="57" t="s">
        <v>49</v>
      </c>
      <c r="E10" s="58" t="s">
        <v>16</v>
      </c>
      <c r="F10" s="57" t="s">
        <v>52</v>
      </c>
      <c r="G10" s="58" t="s">
        <v>20</v>
      </c>
      <c r="H10" s="58" t="s">
        <v>21</v>
      </c>
      <c r="I10" s="58" t="s">
        <v>23</v>
      </c>
      <c r="J10" s="58" t="s">
        <v>26</v>
      </c>
      <c r="K10" s="58" t="s">
        <v>28</v>
      </c>
      <c r="L10" s="1" t="s">
        <v>56</v>
      </c>
      <c r="P10" s="11"/>
      <c r="Q10" s="53" t="s">
        <v>49</v>
      </c>
      <c r="R10" s="1" t="s">
        <v>53</v>
      </c>
      <c r="S10" s="53" t="s">
        <v>52</v>
      </c>
      <c r="T10" s="1" t="s">
        <v>20</v>
      </c>
      <c r="U10" s="1" t="s">
        <v>21</v>
      </c>
      <c r="V10" s="1" t="s">
        <v>23</v>
      </c>
      <c r="W10" s="1" t="s">
        <v>26</v>
      </c>
      <c r="X10" s="1" t="s">
        <v>28</v>
      </c>
      <c r="Y10" s="1" t="s">
        <v>56</v>
      </c>
    </row>
    <row r="11" spans="3:25">
      <c r="C11" s="59" t="s">
        <v>30</v>
      </c>
      <c r="D11" s="13">
        <f t="shared" ref="D11:K11" si="1">(D4/$L$4)*100</f>
        <v>49.021999657592879</v>
      </c>
      <c r="E11" s="13">
        <f t="shared" si="1"/>
        <v>4.2779489813388114</v>
      </c>
      <c r="F11" s="13">
        <f t="shared" si="1"/>
        <v>12.196113679164526</v>
      </c>
      <c r="G11" s="13">
        <f t="shared" si="1"/>
        <v>3.7236774524910108</v>
      </c>
      <c r="H11" s="13">
        <f t="shared" si="1"/>
        <v>3.9055812360897098</v>
      </c>
      <c r="I11" s="13">
        <f t="shared" si="1"/>
        <v>4.0190035952747811</v>
      </c>
      <c r="J11" s="13">
        <f t="shared" si="1"/>
        <v>3.8585002568053408</v>
      </c>
      <c r="K11" s="13">
        <f t="shared" si="1"/>
        <v>18.997175141242931</v>
      </c>
      <c r="L11" s="12"/>
      <c r="P11" s="54" t="s">
        <v>34</v>
      </c>
      <c r="Q11" s="13">
        <f>(D6/$L$6)*100</f>
        <v>49.563853557923693</v>
      </c>
      <c r="R11" s="13">
        <f t="shared" ref="R11:X11" si="2">(E6/$L$6)*100</f>
        <v>4.3184943279477483</v>
      </c>
      <c r="S11" s="13">
        <f t="shared" si="2"/>
        <v>11.885527672739775</v>
      </c>
      <c r="T11" s="13">
        <f t="shared" si="2"/>
        <v>3.7727741491921623</v>
      </c>
      <c r="U11" s="13">
        <f t="shared" si="2"/>
        <v>3.9274664833276045</v>
      </c>
      <c r="V11" s="13">
        <f t="shared" si="2"/>
        <v>3.9897731179099347</v>
      </c>
      <c r="W11" s="13">
        <f t="shared" si="2"/>
        <v>3.8050017188037124</v>
      </c>
      <c r="X11" s="13">
        <f t="shared" si="2"/>
        <v>18.737108972155379</v>
      </c>
    </row>
    <row r="12" spans="3:25">
      <c r="C12" s="59" t="s">
        <v>33</v>
      </c>
      <c r="D12" s="13">
        <f t="shared" ref="D12:K12" si="3">(D5/$L$5)*100</f>
        <v>50.315671529229242</v>
      </c>
      <c r="E12" s="13">
        <f t="shared" si="3"/>
        <v>4.4000086190178633</v>
      </c>
      <c r="F12" s="13">
        <f t="shared" si="3"/>
        <v>11.39218686030727</v>
      </c>
      <c r="G12" s="13">
        <f t="shared" si="3"/>
        <v>3.7837488418194747</v>
      </c>
      <c r="H12" s="13">
        <f t="shared" si="3"/>
        <v>3.9518196901463085</v>
      </c>
      <c r="I12" s="13">
        <f t="shared" si="3"/>
        <v>3.9259626365575646</v>
      </c>
      <c r="J12" s="13">
        <f t="shared" si="3"/>
        <v>3.7665108060936459</v>
      </c>
      <c r="K12" s="13">
        <f t="shared" si="3"/>
        <v>18.464091016828633</v>
      </c>
      <c r="L12" s="12"/>
    </row>
    <row r="13" spans="3:25">
      <c r="C13" s="59" t="s">
        <v>34</v>
      </c>
      <c r="D13" s="13">
        <f t="shared" ref="D13:K13" si="4">(D6/$L$6)*100</f>
        <v>49.563853557923693</v>
      </c>
      <c r="E13" s="13">
        <f t="shared" si="4"/>
        <v>4.3184943279477483</v>
      </c>
      <c r="F13" s="13">
        <f t="shared" si="4"/>
        <v>11.885527672739775</v>
      </c>
      <c r="G13" s="13">
        <f t="shared" si="4"/>
        <v>3.7727741491921623</v>
      </c>
      <c r="H13" s="13">
        <f t="shared" si="4"/>
        <v>3.9274664833276045</v>
      </c>
      <c r="I13" s="13">
        <f t="shared" si="4"/>
        <v>3.9897731179099347</v>
      </c>
      <c r="J13" s="13">
        <f t="shared" si="4"/>
        <v>3.8050017188037124</v>
      </c>
      <c r="K13" s="13">
        <f t="shared" si="4"/>
        <v>18.737108972155379</v>
      </c>
      <c r="L13" s="12"/>
    </row>
    <row r="48" spans="3:4">
      <c r="C48" s="7" t="s">
        <v>57</v>
      </c>
      <c r="D48" s="7" t="s">
        <v>58</v>
      </c>
    </row>
    <row r="53" spans="3:11">
      <c r="C53" s="11"/>
      <c r="D53" s="60" t="s">
        <v>49</v>
      </c>
      <c r="E53" s="60" t="s">
        <v>16</v>
      </c>
      <c r="F53" s="60" t="s">
        <v>52</v>
      </c>
      <c r="G53" s="60" t="s">
        <v>20</v>
      </c>
      <c r="H53" s="60" t="s">
        <v>21</v>
      </c>
      <c r="I53" s="60" t="s">
        <v>23</v>
      </c>
      <c r="J53" s="60" t="s">
        <v>26</v>
      </c>
      <c r="K53" s="60" t="s">
        <v>28</v>
      </c>
    </row>
    <row r="54" spans="3:11">
      <c r="C54" s="61" t="s">
        <v>30</v>
      </c>
      <c r="D54" s="13">
        <v>49.0219996575929</v>
      </c>
      <c r="E54" s="13">
        <v>4.2779489813388114</v>
      </c>
      <c r="F54" s="13">
        <v>12.196113679164526</v>
      </c>
      <c r="G54" s="13">
        <v>3.7236774524910108</v>
      </c>
      <c r="H54" s="13">
        <v>3.9055812360897098</v>
      </c>
      <c r="I54" s="13">
        <v>4.0190035952747811</v>
      </c>
      <c r="J54" s="13">
        <v>3.8585002568053408</v>
      </c>
      <c r="K54" s="13">
        <v>18.997175141242931</v>
      </c>
    </row>
    <row r="55" spans="3:11">
      <c r="C55" s="61" t="s">
        <v>33</v>
      </c>
      <c r="D55" s="13">
        <v>50.315671529229242</v>
      </c>
      <c r="E55" s="13">
        <v>4.4000086190178633</v>
      </c>
      <c r="F55" s="13">
        <v>11.39218686030727</v>
      </c>
      <c r="G55" s="13">
        <v>3.7837488418194747</v>
      </c>
      <c r="H55" s="13">
        <v>3.9518196901463085</v>
      </c>
      <c r="I55" s="13">
        <v>3.9259626365575646</v>
      </c>
      <c r="J55" s="13">
        <v>3.7665108060936459</v>
      </c>
      <c r="K55" s="13">
        <v>18.464091016828633</v>
      </c>
    </row>
  </sheetData>
  <conditionalFormatting sqref="D11:K1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:K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:K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06BF-F340-4011-8042-78C6127AF3C6}">
  <dimension ref="B4:M17"/>
  <sheetViews>
    <sheetView workbookViewId="0">
      <selection activeCell="K14" sqref="K14"/>
    </sheetView>
  </sheetViews>
  <sheetFormatPr defaultRowHeight="14.4"/>
  <cols>
    <col min="2" max="2" width="8" customWidth="1"/>
    <col min="3" max="3" width="7.109375" customWidth="1"/>
    <col min="7" max="7" width="11.6640625" bestFit="1" customWidth="1"/>
  </cols>
  <sheetData>
    <row r="4" spans="2:13">
      <c r="C4" t="s">
        <v>49</v>
      </c>
      <c r="D4" t="s">
        <v>16</v>
      </c>
      <c r="E4" t="s">
        <v>52</v>
      </c>
      <c r="F4" t="s">
        <v>20</v>
      </c>
      <c r="G4" t="s">
        <v>21</v>
      </c>
      <c r="H4" t="s">
        <v>23</v>
      </c>
      <c r="I4" t="s">
        <v>26</v>
      </c>
      <c r="J4" t="s">
        <v>28</v>
      </c>
    </row>
    <row r="5" spans="2:13">
      <c r="C5" s="107" t="s">
        <v>59</v>
      </c>
      <c r="D5" s="107"/>
      <c r="E5" s="107"/>
      <c r="F5" s="107"/>
      <c r="G5" s="107"/>
      <c r="H5" s="107"/>
      <c r="I5" s="107"/>
      <c r="J5" s="107"/>
    </row>
    <row r="6" spans="2:13">
      <c r="C6" s="14"/>
      <c r="D6" s="14" t="s">
        <v>60</v>
      </c>
      <c r="E6" s="14"/>
      <c r="F6" s="14"/>
      <c r="G6" s="14"/>
      <c r="H6" s="14"/>
      <c r="I6" s="14"/>
      <c r="J6" s="14"/>
    </row>
    <row r="7" spans="2:13">
      <c r="B7">
        <v>2016</v>
      </c>
      <c r="C7" s="16">
        <v>264.60000000000002</v>
      </c>
      <c r="D7" s="15"/>
      <c r="E7" s="14"/>
      <c r="F7" s="14"/>
      <c r="G7" s="14"/>
      <c r="H7" s="14"/>
      <c r="I7" s="14"/>
      <c r="J7" s="14"/>
    </row>
    <row r="8" spans="2:13">
      <c r="B8">
        <v>2017</v>
      </c>
      <c r="C8">
        <v>272.89999999999998</v>
      </c>
      <c r="D8" s="15">
        <f t="shared" ref="D8:D14" si="0">(C8-C7)/C7</f>
        <v>3.1368102796674048E-2</v>
      </c>
      <c r="L8" t="s">
        <v>59</v>
      </c>
      <c r="M8" t="s">
        <v>49</v>
      </c>
    </row>
    <row r="9" spans="2:13">
      <c r="B9">
        <v>2018</v>
      </c>
      <c r="C9">
        <v>283.2</v>
      </c>
      <c r="D9" s="15">
        <f t="shared" si="0"/>
        <v>3.774276291681939E-2</v>
      </c>
      <c r="M9" t="s">
        <v>16</v>
      </c>
    </row>
    <row r="10" spans="2:13">
      <c r="B10">
        <v>2019</v>
      </c>
      <c r="C10">
        <v>293.3</v>
      </c>
      <c r="D10" s="15">
        <f t="shared" si="0"/>
        <v>3.5663841807909685E-2</v>
      </c>
      <c r="M10" t="s">
        <v>52</v>
      </c>
    </row>
    <row r="11" spans="2:13">
      <c r="B11">
        <v>2020</v>
      </c>
      <c r="C11">
        <v>308.8</v>
      </c>
      <c r="D11" s="15">
        <f t="shared" si="0"/>
        <v>5.2846914422093418E-2</v>
      </c>
      <c r="M11" t="s">
        <v>20</v>
      </c>
    </row>
    <row r="12" spans="2:13">
      <c r="B12">
        <v>2021</v>
      </c>
      <c r="C12">
        <v>321.60000000000002</v>
      </c>
      <c r="D12" s="15">
        <f t="shared" si="0"/>
        <v>4.1450777202072575E-2</v>
      </c>
      <c r="M12" t="s">
        <v>21</v>
      </c>
    </row>
    <row r="13" spans="2:13">
      <c r="B13">
        <v>2022</v>
      </c>
      <c r="C13">
        <v>353.1</v>
      </c>
      <c r="D13" s="15">
        <f t="shared" si="0"/>
        <v>9.7947761194029842E-2</v>
      </c>
      <c r="M13" t="s">
        <v>23</v>
      </c>
    </row>
    <row r="14" spans="2:13">
      <c r="B14">
        <v>2023</v>
      </c>
      <c r="C14">
        <v>365.3</v>
      </c>
      <c r="D14" s="15">
        <f t="shared" si="0"/>
        <v>3.4551118663268161E-2</v>
      </c>
      <c r="M14" t="s">
        <v>26</v>
      </c>
    </row>
    <row r="15" spans="2:13">
      <c r="M15" t="s">
        <v>28</v>
      </c>
    </row>
    <row r="17" spans="12:13">
      <c r="L17">
        <v>2016</v>
      </c>
      <c r="M17" t="s">
        <v>61</v>
      </c>
    </row>
  </sheetData>
  <mergeCells count="1">
    <mergeCell ref="C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B6CD-BB6D-4A2E-954E-1A134A8B9188}">
  <dimension ref="A1:H52"/>
  <sheetViews>
    <sheetView topLeftCell="A36" workbookViewId="0">
      <selection activeCell="H61" sqref="H61"/>
    </sheetView>
  </sheetViews>
  <sheetFormatPr defaultRowHeight="14.4"/>
  <cols>
    <col min="1" max="1" width="12.5546875" bestFit="1" customWidth="1"/>
    <col min="2" max="3" width="22.33203125" bestFit="1" customWidth="1"/>
    <col min="4" max="4" width="7" bestFit="1" customWidth="1"/>
    <col min="5" max="362" width="6.5546875" bestFit="1" customWidth="1"/>
    <col min="363" max="363" width="10.77734375" bestFit="1" customWidth="1"/>
  </cols>
  <sheetData>
    <row r="1" spans="1:7">
      <c r="A1" s="28" t="s">
        <v>0</v>
      </c>
      <c r="B1" t="s">
        <v>34</v>
      </c>
    </row>
    <row r="3" spans="1:7">
      <c r="A3" s="28" t="s">
        <v>195</v>
      </c>
      <c r="B3" t="s">
        <v>197</v>
      </c>
      <c r="C3" s="30" t="s">
        <v>197</v>
      </c>
    </row>
    <row r="4" spans="1:7">
      <c r="A4" s="14">
        <v>2013</v>
      </c>
      <c r="B4" s="71">
        <v>110.03333333333332</v>
      </c>
      <c r="C4">
        <v>110.1542857</v>
      </c>
      <c r="F4" s="29"/>
    </row>
    <row r="5" spans="1:7">
      <c r="A5" s="14">
        <v>2014</v>
      </c>
      <c r="B5" s="71">
        <v>117.34999999999998</v>
      </c>
      <c r="C5">
        <v>117.32777780000001</v>
      </c>
      <c r="D5" s="62">
        <f>(C5-C4)/C4</f>
        <v>6.5122224291269709E-2</v>
      </c>
      <c r="F5" s="29"/>
      <c r="G5" s="15"/>
    </row>
    <row r="6" spans="1:7">
      <c r="A6" s="14">
        <v>2015</v>
      </c>
      <c r="B6" s="71">
        <v>123.10833333333333</v>
      </c>
      <c r="C6">
        <v>123.0361111</v>
      </c>
      <c r="D6" s="62">
        <f t="shared" ref="D6:D14" si="0">(C6-C5)/C5</f>
        <v>4.8652871528263038E-2</v>
      </c>
      <c r="F6" s="29"/>
    </row>
    <row r="7" spans="1:7">
      <c r="A7" s="14">
        <v>2016</v>
      </c>
      <c r="B7" s="71">
        <v>129.20000000000002</v>
      </c>
      <c r="C7">
        <v>129.1</v>
      </c>
      <c r="D7" s="62">
        <f t="shared" si="0"/>
        <v>4.928544023202628E-2</v>
      </c>
      <c r="F7" s="29"/>
    </row>
    <row r="8" spans="1:7" ht="15" thickBot="1">
      <c r="A8" s="14">
        <v>2017</v>
      </c>
      <c r="B8" s="71">
        <v>133.5</v>
      </c>
      <c r="C8">
        <v>133.38611109999999</v>
      </c>
      <c r="D8" s="62">
        <f t="shared" si="0"/>
        <v>3.3199931061192872E-2</v>
      </c>
      <c r="F8" s="29"/>
    </row>
    <row r="9" spans="1:7">
      <c r="A9" s="14">
        <v>2018</v>
      </c>
      <c r="B9" s="71">
        <v>138.77500000000001</v>
      </c>
      <c r="C9">
        <v>138.6694444</v>
      </c>
      <c r="D9" s="75">
        <f t="shared" si="0"/>
        <v>3.9609321063713128E-2</v>
      </c>
      <c r="E9">
        <v>2018</v>
      </c>
      <c r="F9" s="29"/>
    </row>
    <row r="10" spans="1:7">
      <c r="A10" s="14">
        <v>2019</v>
      </c>
      <c r="B10" s="71">
        <v>144.18181818181816</v>
      </c>
      <c r="C10">
        <v>144.12727269999999</v>
      </c>
      <c r="D10" s="76">
        <f t="shared" si="0"/>
        <v>3.9358550282040279E-2</v>
      </c>
      <c r="E10">
        <v>2019</v>
      </c>
      <c r="F10" s="29"/>
    </row>
    <row r="11" spans="1:7">
      <c r="A11" s="14">
        <v>2020</v>
      </c>
      <c r="B11" s="71">
        <v>151.07666666666668</v>
      </c>
      <c r="C11">
        <v>152.81041669999999</v>
      </c>
      <c r="D11" s="76">
        <f t="shared" si="0"/>
        <v>6.0246363074349628E-2</v>
      </c>
      <c r="E11">
        <v>2020</v>
      </c>
      <c r="F11" s="29"/>
    </row>
    <row r="12" spans="1:7">
      <c r="A12" s="14">
        <v>2021</v>
      </c>
      <c r="B12" s="71">
        <v>161.45833333333331</v>
      </c>
      <c r="C12">
        <v>161.41666670000001</v>
      </c>
      <c r="D12" s="76">
        <f t="shared" si="0"/>
        <v>5.6319786215202547E-2</v>
      </c>
      <c r="E12">
        <v>2021</v>
      </c>
      <c r="F12" s="29"/>
    </row>
    <row r="13" spans="1:7">
      <c r="A13" s="14">
        <v>2022</v>
      </c>
      <c r="B13" s="71">
        <v>172.15</v>
      </c>
      <c r="C13">
        <v>172.07499999999999</v>
      </c>
      <c r="D13" s="76">
        <f t="shared" si="0"/>
        <v>6.602994299101074E-2</v>
      </c>
      <c r="E13">
        <v>2022</v>
      </c>
      <c r="F13" s="29"/>
    </row>
    <row r="14" spans="1:7" ht="15" thickBot="1">
      <c r="A14" s="14">
        <v>2023</v>
      </c>
      <c r="B14" s="71">
        <v>177.62</v>
      </c>
      <c r="C14">
        <v>177.5733333</v>
      </c>
      <c r="D14" s="77">
        <f t="shared" si="0"/>
        <v>3.1953121022809901E-2</v>
      </c>
      <c r="E14">
        <v>2023</v>
      </c>
      <c r="F14" s="29"/>
    </row>
    <row r="15" spans="1:7">
      <c r="A15" s="14" t="s">
        <v>196</v>
      </c>
      <c r="B15" s="29">
        <v>139.62838709677419</v>
      </c>
      <c r="C15" s="31">
        <v>139.62838709677419</v>
      </c>
      <c r="F15" s="32"/>
    </row>
    <row r="19" spans="1:4">
      <c r="A19" t="s">
        <v>0</v>
      </c>
      <c r="B19" t="s">
        <v>34</v>
      </c>
    </row>
    <row r="21" spans="1:4">
      <c r="A21" t="s">
        <v>195</v>
      </c>
      <c r="B21" t="s">
        <v>197</v>
      </c>
      <c r="C21" t="s">
        <v>253</v>
      </c>
    </row>
    <row r="22" spans="1:4">
      <c r="A22">
        <v>2013</v>
      </c>
      <c r="B22">
        <v>110.1542857</v>
      </c>
    </row>
    <row r="23" spans="1:4">
      <c r="A23">
        <v>2014</v>
      </c>
      <c r="B23">
        <v>117.32777780000001</v>
      </c>
      <c r="C23">
        <f>(B23-B22)/B22*100</f>
        <v>6.5122224291269708</v>
      </c>
    </row>
    <row r="24" spans="1:4">
      <c r="A24">
        <v>2015</v>
      </c>
      <c r="B24">
        <v>123.0361111</v>
      </c>
      <c r="C24">
        <f t="shared" ref="C24:C32" si="1">(B24-B23)/B23*100</f>
        <v>4.865287152826304</v>
      </c>
    </row>
    <row r="25" spans="1:4">
      <c r="A25">
        <v>2016</v>
      </c>
      <c r="B25">
        <v>129.1</v>
      </c>
      <c r="C25">
        <f t="shared" si="1"/>
        <v>4.9285440232026279</v>
      </c>
    </row>
    <row r="26" spans="1:4" ht="15" thickBot="1">
      <c r="A26">
        <v>2017</v>
      </c>
      <c r="B26">
        <v>133.38611109999999</v>
      </c>
      <c r="C26">
        <f t="shared" si="1"/>
        <v>3.3199931061192873</v>
      </c>
    </row>
    <row r="27" spans="1:4">
      <c r="A27">
        <v>2018</v>
      </c>
      <c r="B27">
        <v>138.6694444</v>
      </c>
      <c r="C27" s="72">
        <f t="shared" si="1"/>
        <v>3.9609321063713128</v>
      </c>
      <c r="D27">
        <v>2018</v>
      </c>
    </row>
    <row r="28" spans="1:4">
      <c r="A28">
        <v>2019</v>
      </c>
      <c r="B28">
        <v>144.12727269999999</v>
      </c>
      <c r="C28" s="73">
        <f t="shared" si="1"/>
        <v>3.9358550282040281</v>
      </c>
      <c r="D28">
        <v>2019</v>
      </c>
    </row>
    <row r="29" spans="1:4">
      <c r="A29">
        <v>2020</v>
      </c>
      <c r="B29">
        <v>152.81041669999999</v>
      </c>
      <c r="C29" s="73">
        <f t="shared" si="1"/>
        <v>6.0246363074349629</v>
      </c>
      <c r="D29">
        <v>2020</v>
      </c>
    </row>
    <row r="30" spans="1:4">
      <c r="A30">
        <v>2021</v>
      </c>
      <c r="B30">
        <v>161.41666670000001</v>
      </c>
      <c r="C30" s="73">
        <f t="shared" si="1"/>
        <v>5.631978621520255</v>
      </c>
      <c r="D30">
        <v>2021</v>
      </c>
    </row>
    <row r="31" spans="1:4">
      <c r="A31">
        <v>2022</v>
      </c>
      <c r="B31">
        <v>172.07499999999999</v>
      </c>
      <c r="C31" s="73">
        <f t="shared" si="1"/>
        <v>6.6029942991010744</v>
      </c>
      <c r="D31">
        <v>2022</v>
      </c>
    </row>
    <row r="32" spans="1:4" ht="15" thickBot="1">
      <c r="A32">
        <v>2023</v>
      </c>
      <c r="B32">
        <v>177.5733333</v>
      </c>
      <c r="C32" s="74">
        <f t="shared" si="1"/>
        <v>3.1953121022809903</v>
      </c>
      <c r="D32">
        <v>2023</v>
      </c>
    </row>
    <row r="33" spans="1:8">
      <c r="A33" t="s">
        <v>196</v>
      </c>
    </row>
    <row r="41" spans="1:8" ht="18">
      <c r="A41" s="96" t="s">
        <v>1</v>
      </c>
      <c r="B41" s="96" t="s">
        <v>216</v>
      </c>
      <c r="C41" s="84" t="s">
        <v>60</v>
      </c>
      <c r="E41" t="s">
        <v>247</v>
      </c>
      <c r="G41" t="s">
        <v>248</v>
      </c>
    </row>
    <row r="42" spans="1:8">
      <c r="A42" s="14">
        <v>2013</v>
      </c>
      <c r="B42" s="3">
        <v>105.5</v>
      </c>
      <c r="C42" s="97" t="s">
        <v>254</v>
      </c>
      <c r="D42" s="97" t="s">
        <v>255</v>
      </c>
      <c r="E42" s="98">
        <v>106</v>
      </c>
      <c r="G42" s="99">
        <v>105</v>
      </c>
    </row>
    <row r="43" spans="1:8">
      <c r="A43" s="14">
        <v>2014</v>
      </c>
      <c r="B43" s="3">
        <v>114.15</v>
      </c>
      <c r="C43" s="64">
        <f>(B43-B42)/B42</f>
        <v>8.1990521327014274E-2</v>
      </c>
      <c r="D43" s="100" t="s">
        <v>256</v>
      </c>
      <c r="E43" s="98">
        <v>114.6</v>
      </c>
      <c r="F43" s="64">
        <f>(E43-E42)/E42</f>
        <v>8.1132075471698054E-2</v>
      </c>
      <c r="G43" s="99">
        <v>113.7</v>
      </c>
      <c r="H43" s="64">
        <f>(G43-G42)/G42</f>
        <v>8.2857142857142879E-2</v>
      </c>
    </row>
    <row r="44" spans="1:8">
      <c r="A44" s="14">
        <v>2015</v>
      </c>
      <c r="B44" s="3">
        <v>120.13333333333333</v>
      </c>
      <c r="C44" s="64">
        <f t="shared" ref="C44:C52" si="2">(B44-B43)/B43</f>
        <v>5.2416411154913009E-2</v>
      </c>
      <c r="D44" s="100" t="s">
        <v>257</v>
      </c>
      <c r="E44" s="98">
        <v>121.1</v>
      </c>
      <c r="F44" s="64">
        <f t="shared" ref="F44:F52" si="3">(E44-E43)/E43</f>
        <v>5.6719022687609075E-2</v>
      </c>
      <c r="G44" s="99">
        <v>119.1</v>
      </c>
      <c r="H44" s="64">
        <f t="shared" ref="H44:H52" si="4">(G44-G43)/G43</f>
        <v>4.7493403693931326E-2</v>
      </c>
    </row>
    <row r="45" spans="1:8">
      <c r="A45" s="14">
        <v>2016</v>
      </c>
      <c r="B45" s="3">
        <v>125.93333333333334</v>
      </c>
      <c r="C45" s="64">
        <f t="shared" si="2"/>
        <v>4.8279689234184339E-2</v>
      </c>
      <c r="D45" s="100" t="s">
        <v>258</v>
      </c>
      <c r="E45" s="98">
        <v>128</v>
      </c>
      <c r="F45" s="64">
        <f t="shared" si="3"/>
        <v>5.6977704376548359E-2</v>
      </c>
      <c r="G45" s="99">
        <v>123.8</v>
      </c>
      <c r="H45" s="64">
        <f t="shared" si="4"/>
        <v>3.9462636439966441E-2</v>
      </c>
    </row>
    <row r="46" spans="1:8">
      <c r="A46" s="14">
        <v>2017</v>
      </c>
      <c r="B46" s="3">
        <v>130.80000000000001</v>
      </c>
      <c r="C46" s="64">
        <f t="shared" si="2"/>
        <v>3.8644785600847067E-2</v>
      </c>
      <c r="D46" s="100" t="s">
        <v>259</v>
      </c>
      <c r="E46" s="98">
        <v>132.80000000000001</v>
      </c>
      <c r="F46" s="64">
        <f t="shared" si="3"/>
        <v>3.7500000000000089E-2</v>
      </c>
      <c r="G46" s="99">
        <v>128.69999999999999</v>
      </c>
      <c r="H46" s="64">
        <f t="shared" si="4"/>
        <v>3.9579967689822228E-2</v>
      </c>
    </row>
    <row r="47" spans="1:8">
      <c r="A47" s="14">
        <v>2018</v>
      </c>
      <c r="B47" s="3">
        <v>136.4</v>
      </c>
      <c r="C47" s="64">
        <f t="shared" si="2"/>
        <v>4.2813455657492311E-2</v>
      </c>
      <c r="D47" s="100" t="s">
        <v>260</v>
      </c>
      <c r="E47" s="98">
        <v>138.69999999999999</v>
      </c>
      <c r="F47" s="64">
        <f t="shared" si="3"/>
        <v>4.4427710843373318E-2</v>
      </c>
      <c r="G47" s="99">
        <v>134</v>
      </c>
      <c r="H47" s="64">
        <f t="shared" si="4"/>
        <v>4.1181041181041274E-2</v>
      </c>
    </row>
    <row r="48" spans="1:8">
      <c r="A48" s="14">
        <v>2019</v>
      </c>
      <c r="B48" s="3">
        <v>140.36666666666665</v>
      </c>
      <c r="C48" s="64">
        <f t="shared" si="2"/>
        <v>2.9081133919843401E-2</v>
      </c>
      <c r="D48" s="100" t="s">
        <v>261</v>
      </c>
      <c r="E48" s="98">
        <v>141.19999999999999</v>
      </c>
      <c r="F48" s="64">
        <f t="shared" si="3"/>
        <v>1.8024513338139873E-2</v>
      </c>
      <c r="G48" s="99">
        <v>139.5</v>
      </c>
      <c r="H48" s="64">
        <f t="shared" si="4"/>
        <v>4.1044776119402986E-2</v>
      </c>
    </row>
    <row r="49" spans="1:8">
      <c r="A49" s="14">
        <v>2020</v>
      </c>
      <c r="B49" s="3">
        <v>148.56666666666666</v>
      </c>
      <c r="C49" s="64">
        <f t="shared" si="2"/>
        <v>5.8418427926858356E-2</v>
      </c>
      <c r="D49" s="100" t="s">
        <v>262</v>
      </c>
      <c r="E49" s="99">
        <v>149.80000000000001</v>
      </c>
      <c r="F49" s="64">
        <f t="shared" si="3"/>
        <v>6.090651558073671E-2</v>
      </c>
      <c r="G49" s="98">
        <v>147.30000000000001</v>
      </c>
      <c r="H49" s="64">
        <f t="shared" si="4"/>
        <v>5.5913978494623741E-2</v>
      </c>
    </row>
    <row r="50" spans="1:8">
      <c r="A50" s="14">
        <v>2021</v>
      </c>
      <c r="B50" s="3">
        <v>156.80000000000001</v>
      </c>
      <c r="C50" s="64">
        <f t="shared" si="2"/>
        <v>5.5418442898810961E-2</v>
      </c>
      <c r="D50" s="100" t="s">
        <v>263</v>
      </c>
      <c r="E50" s="99">
        <v>156.69999999999999</v>
      </c>
      <c r="F50" s="64">
        <f t="shared" si="3"/>
        <v>4.6061415220293569E-2</v>
      </c>
      <c r="G50" s="98">
        <v>156.9</v>
      </c>
      <c r="H50" s="64">
        <f t="shared" si="4"/>
        <v>6.5173116089612987E-2</v>
      </c>
    </row>
    <row r="51" spans="1:8">
      <c r="A51" s="14">
        <v>2022</v>
      </c>
      <c r="B51" s="3">
        <v>167.63333333333333</v>
      </c>
      <c r="C51" s="64">
        <f t="shared" si="2"/>
        <v>6.9090136054421644E-2</v>
      </c>
      <c r="D51" s="100" t="s">
        <v>264</v>
      </c>
      <c r="E51" s="99">
        <v>168.7</v>
      </c>
      <c r="F51" s="64">
        <f t="shared" si="3"/>
        <v>7.6579451180599875E-2</v>
      </c>
      <c r="G51" s="98">
        <v>166.5</v>
      </c>
      <c r="H51" s="64">
        <f t="shared" si="4"/>
        <v>6.1185468451242793E-2</v>
      </c>
    </row>
    <row r="52" spans="1:8">
      <c r="A52" s="14">
        <v>2023</v>
      </c>
      <c r="B52" s="3">
        <v>177.16666666666666</v>
      </c>
      <c r="C52" s="64">
        <f t="shared" si="2"/>
        <v>5.6870153111950678E-2</v>
      </c>
      <c r="D52" s="100" t="s">
        <v>265</v>
      </c>
      <c r="E52" s="99">
        <v>178</v>
      </c>
      <c r="F52" s="64">
        <f t="shared" si="3"/>
        <v>5.5127445168939013E-2</v>
      </c>
      <c r="G52" s="98">
        <v>176.3</v>
      </c>
      <c r="H52" s="64">
        <f t="shared" si="4"/>
        <v>5.8858858858858928E-2</v>
      </c>
    </row>
  </sheetData>
  <conditionalFormatting sqref="C27:C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:C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D1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9:G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4FA7-8D1B-4CF1-82A3-A6AE20109A2F}">
  <dimension ref="C2:AZ17"/>
  <sheetViews>
    <sheetView topLeftCell="F9" zoomScale="70" zoomScaleNormal="92" workbookViewId="0">
      <selection activeCell="G5" sqref="G5"/>
    </sheetView>
  </sheetViews>
  <sheetFormatPr defaultRowHeight="14.4"/>
  <cols>
    <col min="3" max="3" width="14.33203125" bestFit="1" customWidth="1"/>
    <col min="4" max="5" width="8.88671875" customWidth="1"/>
    <col min="6" max="6" width="12" customWidth="1"/>
    <col min="7" max="7" width="13.33203125" customWidth="1"/>
    <col min="8" max="8" width="10.21875" bestFit="1" customWidth="1"/>
    <col min="9" max="9" width="12.44140625" customWidth="1"/>
    <col min="10" max="10" width="9.6640625" bestFit="1" customWidth="1"/>
    <col min="40" max="40" width="40.44140625" bestFit="1" customWidth="1"/>
    <col min="41" max="41" width="12.6640625" bestFit="1" customWidth="1"/>
  </cols>
  <sheetData>
    <row r="2" spans="3:52" ht="15" thickBot="1">
      <c r="C2" s="108" t="s">
        <v>49</v>
      </c>
      <c r="D2" s="108"/>
      <c r="E2" s="108"/>
      <c r="F2" s="108"/>
      <c r="G2" s="108"/>
      <c r="H2" s="108"/>
      <c r="I2" s="108"/>
    </row>
    <row r="3" spans="3:52">
      <c r="C3" s="11"/>
      <c r="D3" s="23" t="s">
        <v>30</v>
      </c>
      <c r="E3" s="23" t="s">
        <v>33</v>
      </c>
      <c r="F3" s="23" t="s">
        <v>34</v>
      </c>
      <c r="G3" s="23" t="s">
        <v>188</v>
      </c>
      <c r="H3" s="24" t="s">
        <v>189</v>
      </c>
      <c r="I3" s="25" t="s">
        <v>190</v>
      </c>
    </row>
    <row r="4" spans="3:52" ht="15" thickBot="1">
      <c r="C4" s="26" t="s">
        <v>70</v>
      </c>
      <c r="D4" s="12">
        <v>2226.8000000000002</v>
      </c>
      <c r="E4" s="12">
        <v>2262.2000000000003</v>
      </c>
      <c r="F4" s="12">
        <v>2238.9000000000005</v>
      </c>
      <c r="G4" s="11"/>
      <c r="H4" s="18"/>
      <c r="I4" s="20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3:52" ht="18">
      <c r="C5" s="27" t="s">
        <v>72</v>
      </c>
      <c r="D5" s="12">
        <v>2248.3000000000002</v>
      </c>
      <c r="E5" s="12">
        <v>2287.5</v>
      </c>
      <c r="F5" s="12">
        <v>2261.9</v>
      </c>
      <c r="G5" s="17">
        <f>(D5-D4)/D4*100</f>
        <v>0.96551104724268</v>
      </c>
      <c r="H5" s="19">
        <f>(E5-E4)/E4*100</f>
        <v>1.1183803377243269</v>
      </c>
      <c r="I5" s="21">
        <f>(F5-F4)/F4*100</f>
        <v>1.0272901871454525</v>
      </c>
      <c r="AN5" s="65" t="s">
        <v>49</v>
      </c>
      <c r="AO5" s="66" t="s">
        <v>214</v>
      </c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</row>
    <row r="6" spans="3:52" ht="18">
      <c r="C6" s="27" t="s">
        <v>73</v>
      </c>
      <c r="D6" s="12">
        <v>2252.5</v>
      </c>
      <c r="E6" s="12">
        <v>2291.6</v>
      </c>
      <c r="F6" s="12">
        <v>2266.3000000000002</v>
      </c>
      <c r="G6" s="17">
        <f t="shared" ref="G6:G16" si="0">(D6-D5)/D5*100</f>
        <v>0.18680781034558636</v>
      </c>
      <c r="H6" s="19">
        <f t="shared" ref="H6:H16" si="1">(E6-E5)/E5*100</f>
        <v>0.17923497267759164</v>
      </c>
      <c r="I6" s="21">
        <f t="shared" ref="I6:I16" si="2">(F6-F5)/F5*100</f>
        <v>0.19452672531942572</v>
      </c>
      <c r="AN6" s="67" t="s">
        <v>3</v>
      </c>
      <c r="AO6" s="68">
        <v>0.12085220029035372</v>
      </c>
    </row>
    <row r="7" spans="3:52" ht="18">
      <c r="C7" s="27" t="s">
        <v>77</v>
      </c>
      <c r="D7" s="12">
        <v>2255.7999999999997</v>
      </c>
      <c r="E7" s="12">
        <v>2293.6999999999998</v>
      </c>
      <c r="F7" s="12">
        <v>2269.2000000000003</v>
      </c>
      <c r="G7" s="17">
        <f t="shared" si="0"/>
        <v>0.1465038845726849</v>
      </c>
      <c r="H7" s="19">
        <f t="shared" si="1"/>
        <v>9.1639029499036004E-2</v>
      </c>
      <c r="I7" s="21">
        <f t="shared" si="2"/>
        <v>0.12796187618585758</v>
      </c>
      <c r="AN7" s="67" t="s">
        <v>4</v>
      </c>
      <c r="AO7" s="68">
        <v>-1.0960038075584964E-2</v>
      </c>
    </row>
    <row r="8" spans="3:52" ht="18">
      <c r="C8" s="27" t="s">
        <v>67</v>
      </c>
      <c r="D8" s="12">
        <v>2267.8000000000002</v>
      </c>
      <c r="E8" s="12">
        <v>2306.4</v>
      </c>
      <c r="F8" s="12">
        <v>2280.9</v>
      </c>
      <c r="G8" s="17">
        <f t="shared" si="0"/>
        <v>0.5319620533735463</v>
      </c>
      <c r="H8" s="19">
        <f t="shared" si="1"/>
        <v>0.55369054366308901</v>
      </c>
      <c r="I8" s="21">
        <f t="shared" si="2"/>
        <v>0.51560021152828384</v>
      </c>
      <c r="AN8" s="67" t="s">
        <v>5</v>
      </c>
      <c r="AO8" s="68">
        <v>7.5858020928857975E-2</v>
      </c>
    </row>
    <row r="9" spans="3:52" ht="18">
      <c r="C9" s="27" t="s">
        <v>68</v>
      </c>
      <c r="D9" s="12">
        <v>2284.5</v>
      </c>
      <c r="E9" s="12">
        <v>2322.3000000000002</v>
      </c>
      <c r="F9" s="12">
        <v>2297.3000000000002</v>
      </c>
      <c r="G9" s="17">
        <f t="shared" si="0"/>
        <v>0.73639650762853059</v>
      </c>
      <c r="H9" s="19">
        <f t="shared" si="1"/>
        <v>0.6893860561914712</v>
      </c>
      <c r="I9" s="21">
        <f t="shared" si="2"/>
        <v>0.7190144241308295</v>
      </c>
      <c r="AN9" s="67" t="s">
        <v>6</v>
      </c>
      <c r="AO9" s="68">
        <v>8.5207275393248891E-2</v>
      </c>
    </row>
    <row r="10" spans="3:52" ht="18">
      <c r="C10" s="27" t="s">
        <v>69</v>
      </c>
      <c r="D10" s="12">
        <v>2287.6999999999998</v>
      </c>
      <c r="E10" s="12">
        <v>2314.4</v>
      </c>
      <c r="F10" s="12">
        <v>2296.8000000000002</v>
      </c>
      <c r="G10" s="17">
        <f t="shared" si="0"/>
        <v>0.14007441453271255</v>
      </c>
      <c r="H10" s="19">
        <f t="shared" si="1"/>
        <v>-0.34017999397149767</v>
      </c>
      <c r="I10" s="21">
        <f t="shared" si="2"/>
        <v>-2.1764680276846731E-2</v>
      </c>
      <c r="AN10" s="67" t="s">
        <v>12</v>
      </c>
      <c r="AO10" s="68">
        <v>0.16602381892132637</v>
      </c>
    </row>
    <row r="11" spans="3:52" ht="18">
      <c r="C11" s="27" t="s">
        <v>76</v>
      </c>
      <c r="D11" s="12">
        <v>2277.1</v>
      </c>
      <c r="E11" s="12">
        <v>2295.7999999999997</v>
      </c>
      <c r="F11" s="12">
        <v>2283.4</v>
      </c>
      <c r="G11" s="17">
        <f t="shared" si="0"/>
        <v>-0.46334746688813699</v>
      </c>
      <c r="H11" s="19">
        <f t="shared" si="1"/>
        <v>-0.80366401659178899</v>
      </c>
      <c r="I11" s="21">
        <f t="shared" si="2"/>
        <v>-0.58342041100662179</v>
      </c>
      <c r="L11" s="7" t="s">
        <v>194</v>
      </c>
      <c r="AN11" s="67" t="s">
        <v>7</v>
      </c>
      <c r="AO11" s="68">
        <v>-0.17196654140370343</v>
      </c>
    </row>
    <row r="12" spans="3:52" ht="18">
      <c r="C12" s="27" t="s">
        <v>64</v>
      </c>
      <c r="D12" s="12">
        <v>2283.2000000000003</v>
      </c>
      <c r="E12" s="12">
        <v>2310.2000000000003</v>
      </c>
      <c r="F12" s="12">
        <v>2292.6999999999998</v>
      </c>
      <c r="G12" s="17">
        <f t="shared" si="0"/>
        <v>0.26788459004876219</v>
      </c>
      <c r="H12" s="19">
        <f t="shared" si="1"/>
        <v>0.6272323373116363</v>
      </c>
      <c r="I12" s="21">
        <f t="shared" si="2"/>
        <v>0.40728737847068963</v>
      </c>
      <c r="AN12" s="67" t="s">
        <v>8</v>
      </c>
      <c r="AO12" s="68">
        <v>1.212892331833881E-2</v>
      </c>
    </row>
    <row r="13" spans="3:52" ht="18">
      <c r="C13" s="27" t="s">
        <v>65</v>
      </c>
      <c r="D13" s="12">
        <v>2265.6999999999998</v>
      </c>
      <c r="E13" s="12">
        <v>2303.1999999999998</v>
      </c>
      <c r="F13" s="12">
        <v>2279.1</v>
      </c>
      <c r="G13" s="17">
        <f t="shared" si="0"/>
        <v>-0.76646811492643885</v>
      </c>
      <c r="H13" s="19">
        <f t="shared" si="1"/>
        <v>-0.30300406891180215</v>
      </c>
      <c r="I13" s="21">
        <f t="shared" si="2"/>
        <v>-0.59318707201116194</v>
      </c>
      <c r="L13" t="s">
        <v>191</v>
      </c>
      <c r="AN13" s="67" t="s">
        <v>9</v>
      </c>
      <c r="AO13" s="68">
        <v>-6.6466572857876549E-2</v>
      </c>
    </row>
    <row r="14" spans="3:52" ht="18">
      <c r="C14" s="27" t="s">
        <v>63</v>
      </c>
      <c r="D14" s="12">
        <v>2265.8000000000002</v>
      </c>
      <c r="E14" s="12">
        <v>2303.4</v>
      </c>
      <c r="F14" s="12">
        <v>2279.1999999999998</v>
      </c>
      <c r="G14" s="17">
        <f t="shared" si="0"/>
        <v>4.413646996529276E-3</v>
      </c>
      <c r="H14" s="19">
        <f t="shared" si="1"/>
        <v>8.6835706842772163E-3</v>
      </c>
      <c r="I14" s="21">
        <f t="shared" si="2"/>
        <v>4.3876968978943031E-3</v>
      </c>
      <c r="AN14" s="67" t="s">
        <v>10</v>
      </c>
      <c r="AO14" s="68">
        <v>6.4492479670082731E-2</v>
      </c>
    </row>
    <row r="15" spans="3:52" ht="18">
      <c r="C15" s="27" t="s">
        <v>66</v>
      </c>
      <c r="D15" s="12">
        <v>2274.1999999999998</v>
      </c>
      <c r="E15" s="12">
        <v>2317.7000000000003</v>
      </c>
      <c r="F15" s="12">
        <v>2289.6000000000004</v>
      </c>
      <c r="G15" s="17">
        <f t="shared" si="0"/>
        <v>0.37072998499424642</v>
      </c>
      <c r="H15" s="19">
        <f t="shared" si="1"/>
        <v>0.62082139446037088</v>
      </c>
      <c r="I15" s="21">
        <f t="shared" si="2"/>
        <v>0.45630045630048033</v>
      </c>
      <c r="AN15" s="67" t="s">
        <v>11</v>
      </c>
      <c r="AO15" s="68">
        <v>2.4990010110495772E-2</v>
      </c>
    </row>
    <row r="16" spans="3:52" ht="18.600000000000001" thickBot="1">
      <c r="C16" s="27" t="s">
        <v>62</v>
      </c>
      <c r="D16" s="12">
        <v>2290.7000000000007</v>
      </c>
      <c r="E16" s="12">
        <v>2335.1</v>
      </c>
      <c r="F16" s="12">
        <v>2317.7000000000003</v>
      </c>
      <c r="G16" s="17">
        <f t="shared" si="0"/>
        <v>0.72552985665292902</v>
      </c>
      <c r="H16" s="19">
        <f t="shared" si="1"/>
        <v>0.75074427233894092</v>
      </c>
      <c r="I16" s="22">
        <f t="shared" si="2"/>
        <v>1.2272886093640769</v>
      </c>
      <c r="AN16" s="67" t="s">
        <v>13</v>
      </c>
      <c r="AO16" s="68">
        <v>3.7075142679248593E-2</v>
      </c>
    </row>
    <row r="17" spans="3:41" ht="18.600000000000001" thickBot="1">
      <c r="C17" s="10"/>
      <c r="AN17" s="69" t="s">
        <v>14</v>
      </c>
      <c r="AO17" s="70">
        <v>6.2333124010194668E-2</v>
      </c>
    </row>
  </sheetData>
  <sortState xmlns:xlrd2="http://schemas.microsoft.com/office/spreadsheetml/2017/richdata2" ref="C5:C16">
    <sortCondition ref="C5:C16"/>
  </sortState>
  <mergeCells count="1">
    <mergeCell ref="C2:I2"/>
  </mergeCells>
  <conditionalFormatting sqref="G5:G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6:AO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77B0-14F9-4F94-B47B-1EAF61778809}">
  <dimension ref="B2:AS139"/>
  <sheetViews>
    <sheetView topLeftCell="O97" zoomScale="45" workbookViewId="0">
      <selection activeCell="Q38" sqref="Q38"/>
    </sheetView>
  </sheetViews>
  <sheetFormatPr defaultColWidth="14.21875" defaultRowHeight="14.4"/>
  <cols>
    <col min="2" max="2" width="21.109375" bestFit="1" customWidth="1"/>
    <col min="3" max="3" width="35.77734375" bestFit="1" customWidth="1"/>
    <col min="4" max="4" width="26.88671875" bestFit="1" customWidth="1"/>
    <col min="5" max="5" width="14.33203125" bestFit="1" customWidth="1"/>
    <col min="6" max="6" width="31.77734375" bestFit="1" customWidth="1"/>
    <col min="7" max="7" width="18.109375" bestFit="1" customWidth="1"/>
    <col min="8" max="8" width="24.77734375" bestFit="1" customWidth="1"/>
    <col min="9" max="9" width="17.109375" bestFit="1" customWidth="1"/>
    <col min="10" max="10" width="23.6640625" bestFit="1" customWidth="1"/>
    <col min="11" max="11" width="34.88671875" bestFit="1" customWidth="1"/>
    <col min="12" max="12" width="39.44140625" bestFit="1" customWidth="1"/>
    <col min="13" max="13" width="39.77734375" bestFit="1" customWidth="1"/>
    <col min="14" max="14" width="53.6640625" bestFit="1" customWidth="1"/>
    <col min="15" max="15" width="6.109375" customWidth="1"/>
    <col min="16" max="16" width="6.88671875" customWidth="1"/>
    <col min="17" max="17" width="21.6640625" customWidth="1"/>
    <col min="26" max="26" width="18.88671875" customWidth="1"/>
    <col min="30" max="30" width="5.109375" customWidth="1"/>
    <col min="31" max="31" width="5" customWidth="1"/>
    <col min="32" max="32" width="5.109375" customWidth="1"/>
  </cols>
  <sheetData>
    <row r="2" spans="2:10" ht="223.05" customHeight="1"/>
    <row r="5" spans="2:10">
      <c r="B5" t="s">
        <v>215</v>
      </c>
    </row>
    <row r="8" spans="2:10" ht="18">
      <c r="D8" s="78" t="s">
        <v>216</v>
      </c>
    </row>
    <row r="9" spans="2:10" ht="18">
      <c r="B9" s="79" t="s">
        <v>195</v>
      </c>
      <c r="C9" s="79" t="s">
        <v>30</v>
      </c>
      <c r="D9" s="79" t="s">
        <v>34</v>
      </c>
      <c r="E9" s="79" t="s">
        <v>33</v>
      </c>
      <c r="H9" s="78" t="s">
        <v>60</v>
      </c>
    </row>
    <row r="10" spans="2:10" ht="18">
      <c r="B10" s="80" t="s">
        <v>217</v>
      </c>
      <c r="C10">
        <v>170.8</v>
      </c>
      <c r="D10">
        <v>173.3</v>
      </c>
      <c r="E10">
        <v>177.5</v>
      </c>
      <c r="G10" s="79" t="s">
        <v>195</v>
      </c>
      <c r="H10" s="79" t="s">
        <v>30</v>
      </c>
      <c r="I10" s="79" t="s">
        <v>34</v>
      </c>
      <c r="J10" s="79" t="s">
        <v>33</v>
      </c>
    </row>
    <row r="11" spans="2:10" ht="18">
      <c r="B11" s="80" t="s">
        <v>218</v>
      </c>
      <c r="C11">
        <v>172.4</v>
      </c>
      <c r="D11">
        <v>174.9</v>
      </c>
      <c r="E11">
        <v>179.3</v>
      </c>
      <c r="G11" s="80" t="s">
        <v>218</v>
      </c>
      <c r="H11" s="64">
        <f>(C11-C10)/C10</f>
        <v>9.3676814988290051E-3</v>
      </c>
      <c r="I11" s="64">
        <f t="shared" ref="I11:J22" si="0">(D11-D10)/D10</f>
        <v>9.2325447201384546E-3</v>
      </c>
      <c r="J11" s="64">
        <f t="shared" si="0"/>
        <v>1.0140845070422599E-2</v>
      </c>
    </row>
    <row r="12" spans="2:10" ht="18">
      <c r="B12" s="80" t="s">
        <v>219</v>
      </c>
      <c r="C12">
        <v>172.5</v>
      </c>
      <c r="D12">
        <v>175</v>
      </c>
      <c r="E12">
        <v>179.4</v>
      </c>
      <c r="G12" s="80" t="s">
        <v>219</v>
      </c>
      <c r="H12" s="64">
        <f t="shared" ref="H12:H22" si="1">(C12-C11)/C11</f>
        <v>5.80046403712264E-4</v>
      </c>
      <c r="I12" s="64">
        <f t="shared" si="0"/>
        <v>5.7175528873638828E-4</v>
      </c>
      <c r="J12" s="64">
        <f t="shared" si="0"/>
        <v>5.5772448410482047E-4</v>
      </c>
    </row>
    <row r="13" spans="2:10" ht="18">
      <c r="B13" s="80" t="s">
        <v>220</v>
      </c>
      <c r="C13">
        <v>173.9</v>
      </c>
      <c r="D13">
        <v>176.3</v>
      </c>
      <c r="E13">
        <v>180.4</v>
      </c>
      <c r="G13" s="80" t="s">
        <v>220</v>
      </c>
      <c r="H13" s="64">
        <f t="shared" si="1"/>
        <v>8.1159420289855407E-3</v>
      </c>
      <c r="I13" s="64">
        <f t="shared" si="0"/>
        <v>7.4285714285714935E-3</v>
      </c>
      <c r="J13" s="64">
        <f t="shared" si="0"/>
        <v>5.5741360089186171E-3</v>
      </c>
    </row>
    <row r="14" spans="2:10" ht="18">
      <c r="B14" s="80" t="s">
        <v>221</v>
      </c>
      <c r="C14">
        <v>175.5</v>
      </c>
      <c r="D14">
        <v>177.8</v>
      </c>
      <c r="E14">
        <v>181.8</v>
      </c>
      <c r="G14" s="80" t="s">
        <v>221</v>
      </c>
      <c r="H14" s="64">
        <f t="shared" si="1"/>
        <v>9.2006900517538487E-3</v>
      </c>
      <c r="I14" s="64">
        <f t="shared" si="0"/>
        <v>8.5082246171298923E-3</v>
      </c>
      <c r="J14" s="64">
        <f t="shared" si="0"/>
        <v>7.7605321507760849E-3</v>
      </c>
    </row>
    <row r="15" spans="2:10" ht="18">
      <c r="B15" s="80" t="s">
        <v>222</v>
      </c>
      <c r="C15">
        <v>177.4</v>
      </c>
      <c r="D15">
        <v>179.6</v>
      </c>
      <c r="E15">
        <v>183.3</v>
      </c>
      <c r="G15" s="80" t="s">
        <v>222</v>
      </c>
      <c r="H15" s="64">
        <f t="shared" si="1"/>
        <v>1.0826210826210859E-2</v>
      </c>
      <c r="I15" s="64">
        <f t="shared" si="0"/>
        <v>1.0123734533183255E-2</v>
      </c>
      <c r="J15" s="64">
        <f t="shared" si="0"/>
        <v>8.2508250825082501E-3</v>
      </c>
    </row>
    <row r="16" spans="2:10" ht="18">
      <c r="B16" s="80" t="s">
        <v>223</v>
      </c>
      <c r="C16">
        <v>176.6</v>
      </c>
      <c r="D16">
        <v>178.3</v>
      </c>
      <c r="E16">
        <v>181.3</v>
      </c>
      <c r="G16" s="80" t="s">
        <v>223</v>
      </c>
      <c r="H16" s="64">
        <f t="shared" si="1"/>
        <v>-4.5095828635851824E-3</v>
      </c>
      <c r="I16" s="64">
        <f t="shared" si="0"/>
        <v>-7.2383073496658295E-3</v>
      </c>
      <c r="J16" s="64">
        <f t="shared" si="0"/>
        <v>-1.0911074740861974E-2</v>
      </c>
    </row>
    <row r="17" spans="2:14" ht="18">
      <c r="B17" s="80" t="s">
        <v>224</v>
      </c>
      <c r="C17">
        <v>174.4</v>
      </c>
      <c r="D17">
        <v>175.9</v>
      </c>
      <c r="E17">
        <v>178.6</v>
      </c>
      <c r="G17" s="80" t="s">
        <v>224</v>
      </c>
      <c r="H17" s="64">
        <f t="shared" si="1"/>
        <v>-1.2457531143827796E-2</v>
      </c>
      <c r="I17" s="64">
        <f t="shared" si="0"/>
        <v>-1.3460459899046581E-2</v>
      </c>
      <c r="J17" s="64">
        <f t="shared" si="0"/>
        <v>-1.4892443463872128E-2</v>
      </c>
    </row>
    <row r="18" spans="2:14" ht="18">
      <c r="B18" s="80" t="s">
        <v>225</v>
      </c>
      <c r="C18">
        <v>175</v>
      </c>
      <c r="D18">
        <v>176.7</v>
      </c>
      <c r="E18">
        <v>179.5</v>
      </c>
      <c r="G18" s="80" t="s">
        <v>225</v>
      </c>
      <c r="H18" s="64">
        <f t="shared" si="1"/>
        <v>3.4403669724770315E-3</v>
      </c>
      <c r="I18" s="64">
        <f t="shared" si="0"/>
        <v>4.5480386583284984E-3</v>
      </c>
      <c r="J18" s="64">
        <f t="shared" si="0"/>
        <v>5.0391937290033915E-3</v>
      </c>
    </row>
    <row r="19" spans="2:14" ht="18">
      <c r="B19" s="80" t="s">
        <v>226</v>
      </c>
      <c r="C19">
        <v>174.8</v>
      </c>
      <c r="D19">
        <v>177</v>
      </c>
      <c r="E19">
        <v>180.7</v>
      </c>
      <c r="G19" s="80" t="s">
        <v>226</v>
      </c>
      <c r="H19" s="64">
        <f t="shared" si="1"/>
        <v>-1.1428571428570779E-3</v>
      </c>
      <c r="I19" s="64">
        <f t="shared" si="0"/>
        <v>1.6977928692700134E-3</v>
      </c>
      <c r="J19" s="64">
        <f t="shared" si="0"/>
        <v>6.6852367688021649E-3</v>
      </c>
    </row>
    <row r="20" spans="2:14" ht="18">
      <c r="B20" s="80" t="s">
        <v>227</v>
      </c>
      <c r="C20">
        <v>174.8</v>
      </c>
      <c r="D20">
        <v>177</v>
      </c>
      <c r="E20">
        <v>180.8</v>
      </c>
      <c r="G20" s="80" t="s">
        <v>227</v>
      </c>
      <c r="H20" s="64">
        <f t="shared" si="1"/>
        <v>0</v>
      </c>
      <c r="I20" s="64">
        <f t="shared" si="0"/>
        <v>0</v>
      </c>
      <c r="J20" s="64">
        <f t="shared" si="0"/>
        <v>5.5340343110139867E-4</v>
      </c>
    </row>
    <row r="21" spans="2:14" ht="18">
      <c r="B21" s="80" t="s">
        <v>228</v>
      </c>
      <c r="C21">
        <v>175.5</v>
      </c>
      <c r="D21">
        <v>177.9</v>
      </c>
      <c r="E21">
        <v>182.1</v>
      </c>
      <c r="G21" s="80" t="s">
        <v>228</v>
      </c>
      <c r="H21" s="64">
        <f t="shared" si="1"/>
        <v>4.0045766590388367E-3</v>
      </c>
      <c r="I21" s="64">
        <f t="shared" si="0"/>
        <v>5.0847457627118961E-3</v>
      </c>
      <c r="J21" s="64">
        <f t="shared" si="0"/>
        <v>7.1902654867255691E-3</v>
      </c>
    </row>
    <row r="22" spans="2:14" ht="18">
      <c r="B22" s="80" t="s">
        <v>229</v>
      </c>
      <c r="C22">
        <v>176.8</v>
      </c>
      <c r="D22">
        <v>179.1</v>
      </c>
      <c r="E22">
        <v>183.1</v>
      </c>
      <c r="G22" s="80" t="s">
        <v>229</v>
      </c>
      <c r="H22" s="64">
        <f t="shared" si="1"/>
        <v>7.4074074074074719E-3</v>
      </c>
      <c r="I22" s="64">
        <f t="shared" si="0"/>
        <v>6.7453625632377095E-3</v>
      </c>
      <c r="J22" s="64">
        <f t="shared" si="0"/>
        <v>5.4914881933003845E-3</v>
      </c>
    </row>
    <row r="28" spans="2:14" ht="15.6">
      <c r="N28" s="81" t="s">
        <v>211</v>
      </c>
    </row>
    <row r="29" spans="2:14" ht="15.6">
      <c r="N29" s="82" t="s">
        <v>230</v>
      </c>
    </row>
    <row r="30" spans="2:14" ht="15.6">
      <c r="N30" s="82" t="s">
        <v>231</v>
      </c>
    </row>
    <row r="47" spans="2:3">
      <c r="B47" s="28" t="s">
        <v>1</v>
      </c>
      <c r="C47" t="s">
        <v>232</v>
      </c>
    </row>
    <row r="48" spans="2:3">
      <c r="B48" s="28" t="s">
        <v>0</v>
      </c>
      <c r="C48" t="s">
        <v>33</v>
      </c>
    </row>
    <row r="50" spans="2:14">
      <c r="B50" s="28" t="s">
        <v>195</v>
      </c>
      <c r="C50" s="28" t="s">
        <v>233</v>
      </c>
      <c r="D50" t="s">
        <v>234</v>
      </c>
      <c r="E50" t="s">
        <v>235</v>
      </c>
      <c r="F50" t="s">
        <v>236</v>
      </c>
      <c r="G50" t="s">
        <v>237</v>
      </c>
      <c r="H50" t="s">
        <v>238</v>
      </c>
      <c r="I50" t="s">
        <v>239</v>
      </c>
      <c r="J50" t="s">
        <v>240</v>
      </c>
      <c r="K50" t="s">
        <v>241</v>
      </c>
      <c r="L50" t="s">
        <v>242</v>
      </c>
      <c r="M50" t="s">
        <v>243</v>
      </c>
      <c r="N50" t="s">
        <v>244</v>
      </c>
    </row>
    <row r="51" spans="2:14">
      <c r="B51" s="14" t="s">
        <v>217</v>
      </c>
      <c r="C51">
        <v>156.69999999999999</v>
      </c>
      <c r="D51">
        <v>221.2</v>
      </c>
      <c r="E51">
        <v>164.1</v>
      </c>
      <c r="F51">
        <v>165.4</v>
      </c>
      <c r="G51">
        <v>181.4</v>
      </c>
      <c r="H51">
        <v>189.5</v>
      </c>
      <c r="I51">
        <v>174.5</v>
      </c>
      <c r="J51">
        <v>203.2</v>
      </c>
      <c r="K51">
        <v>164.1</v>
      </c>
      <c r="L51">
        <v>121.2</v>
      </c>
      <c r="M51">
        <v>158.5</v>
      </c>
      <c r="N51">
        <v>184.9</v>
      </c>
    </row>
    <row r="52" spans="2:14">
      <c r="B52" s="14" t="s">
        <v>218</v>
      </c>
      <c r="C52">
        <v>157.5</v>
      </c>
      <c r="D52">
        <v>223.4</v>
      </c>
      <c r="E52">
        <v>172.8</v>
      </c>
      <c r="F52">
        <v>166.4</v>
      </c>
      <c r="G52">
        <v>183.5</v>
      </c>
      <c r="H52">
        <v>188.6</v>
      </c>
      <c r="I52">
        <v>174.1</v>
      </c>
      <c r="J52">
        <v>211.5</v>
      </c>
      <c r="K52">
        <v>163.6</v>
      </c>
      <c r="L52">
        <v>121.4</v>
      </c>
      <c r="M52">
        <v>159.1</v>
      </c>
      <c r="N52">
        <v>186.3</v>
      </c>
    </row>
    <row r="53" spans="2:14">
      <c r="B53" s="14" t="s">
        <v>219</v>
      </c>
      <c r="C53">
        <v>159.30000000000001</v>
      </c>
      <c r="D53">
        <v>217.1</v>
      </c>
      <c r="E53">
        <v>176.6</v>
      </c>
      <c r="F53">
        <v>167.1</v>
      </c>
      <c r="G53">
        <v>186.3</v>
      </c>
      <c r="H53">
        <v>184.8</v>
      </c>
      <c r="I53">
        <v>179.5</v>
      </c>
      <c r="J53">
        <v>208.5</v>
      </c>
      <c r="K53">
        <v>164</v>
      </c>
      <c r="L53">
        <v>121.5</v>
      </c>
      <c r="M53">
        <v>159.80000000000001</v>
      </c>
      <c r="N53">
        <v>187.7</v>
      </c>
    </row>
    <row r="54" spans="2:14">
      <c r="B54" s="14" t="s">
        <v>220</v>
      </c>
      <c r="C54">
        <v>162.1</v>
      </c>
      <c r="D54">
        <v>210.9</v>
      </c>
      <c r="E54">
        <v>170.6</v>
      </c>
      <c r="F54">
        <v>168.4</v>
      </c>
      <c r="G54">
        <v>189.7</v>
      </c>
      <c r="H54">
        <v>182.5</v>
      </c>
      <c r="I54">
        <v>177.1</v>
      </c>
      <c r="J54">
        <v>213.1</v>
      </c>
      <c r="K54">
        <v>167.3</v>
      </c>
      <c r="L54">
        <v>122.2</v>
      </c>
      <c r="M54">
        <v>160.5</v>
      </c>
      <c r="N54">
        <v>188.9</v>
      </c>
    </row>
    <row r="55" spans="2:14">
      <c r="B55" s="14" t="s">
        <v>221</v>
      </c>
      <c r="C55">
        <v>164.9</v>
      </c>
      <c r="D55">
        <v>213.7</v>
      </c>
      <c r="E55">
        <v>170.9</v>
      </c>
      <c r="F55">
        <v>170.1</v>
      </c>
      <c r="G55">
        <v>193.6</v>
      </c>
      <c r="H55">
        <v>179.3</v>
      </c>
      <c r="I55">
        <v>167.5</v>
      </c>
      <c r="J55">
        <v>220.8</v>
      </c>
      <c r="K55">
        <v>169.2</v>
      </c>
      <c r="L55">
        <v>123.1</v>
      </c>
      <c r="M55">
        <v>161.1</v>
      </c>
      <c r="N55">
        <v>190.4</v>
      </c>
    </row>
    <row r="56" spans="2:14">
      <c r="B56" s="14" t="s">
        <v>222</v>
      </c>
      <c r="C56">
        <v>166.4</v>
      </c>
      <c r="D56">
        <v>214.9</v>
      </c>
      <c r="E56">
        <v>171.9</v>
      </c>
      <c r="F56">
        <v>171</v>
      </c>
      <c r="G56">
        <v>196.4</v>
      </c>
      <c r="H56">
        <v>177.7</v>
      </c>
      <c r="I56">
        <v>165.7</v>
      </c>
      <c r="J56">
        <v>228.6</v>
      </c>
      <c r="K56">
        <v>169.9</v>
      </c>
      <c r="L56">
        <v>123.4</v>
      </c>
      <c r="M56">
        <v>161.6</v>
      </c>
      <c r="N56">
        <v>191.5</v>
      </c>
    </row>
    <row r="57" spans="2:14">
      <c r="B57" s="14" t="s">
        <v>223</v>
      </c>
      <c r="C57">
        <v>168.4</v>
      </c>
      <c r="D57">
        <v>213.4</v>
      </c>
      <c r="E57">
        <v>183.2</v>
      </c>
      <c r="F57">
        <v>172.3</v>
      </c>
      <c r="G57">
        <v>198.8</v>
      </c>
      <c r="H57">
        <v>180</v>
      </c>
      <c r="I57">
        <v>162.6</v>
      </c>
      <c r="J57">
        <v>205.5</v>
      </c>
      <c r="K57">
        <v>171</v>
      </c>
      <c r="L57">
        <v>123.4</v>
      </c>
      <c r="M57">
        <v>162.1</v>
      </c>
      <c r="N57">
        <v>192.4</v>
      </c>
    </row>
    <row r="58" spans="2:14">
      <c r="B58" s="14" t="s">
        <v>224</v>
      </c>
      <c r="C58">
        <v>170.2</v>
      </c>
      <c r="D58">
        <v>212.9</v>
      </c>
      <c r="E58">
        <v>191.9</v>
      </c>
      <c r="F58">
        <v>173.9</v>
      </c>
      <c r="G58">
        <v>200.5</v>
      </c>
      <c r="H58">
        <v>179.1</v>
      </c>
      <c r="I58">
        <v>159.5</v>
      </c>
      <c r="J58">
        <v>178.7</v>
      </c>
      <c r="K58">
        <v>171.3</v>
      </c>
      <c r="L58">
        <v>123.1</v>
      </c>
      <c r="M58">
        <v>162.80000000000001</v>
      </c>
      <c r="N58">
        <v>193.3</v>
      </c>
    </row>
    <row r="59" spans="2:14">
      <c r="B59" s="14" t="s">
        <v>225</v>
      </c>
      <c r="C59">
        <v>173.3</v>
      </c>
      <c r="D59">
        <v>215.2</v>
      </c>
      <c r="E59">
        <v>197</v>
      </c>
      <c r="F59">
        <v>175.2</v>
      </c>
      <c r="G59">
        <v>204.3</v>
      </c>
      <c r="H59">
        <v>178</v>
      </c>
      <c r="I59">
        <v>160.5</v>
      </c>
      <c r="J59">
        <v>175.3</v>
      </c>
      <c r="K59">
        <v>171.2</v>
      </c>
      <c r="L59">
        <v>122.7</v>
      </c>
      <c r="M59">
        <v>163.69999999999999</v>
      </c>
      <c r="N59">
        <v>194.3</v>
      </c>
    </row>
    <row r="60" spans="2:14">
      <c r="B60" s="14" t="s">
        <v>226</v>
      </c>
      <c r="C60">
        <v>174.7</v>
      </c>
      <c r="D60">
        <v>212.2</v>
      </c>
      <c r="E60">
        <v>177.2</v>
      </c>
      <c r="F60">
        <v>177.9</v>
      </c>
      <c r="G60">
        <v>204.8</v>
      </c>
      <c r="H60">
        <v>172.2</v>
      </c>
      <c r="I60">
        <v>172.1</v>
      </c>
      <c r="J60">
        <v>175.8</v>
      </c>
      <c r="K60">
        <v>172.2</v>
      </c>
      <c r="L60">
        <v>121.9</v>
      </c>
      <c r="M60">
        <v>164.9</v>
      </c>
      <c r="N60">
        <v>196.6</v>
      </c>
    </row>
    <row r="61" spans="2:14">
      <c r="B61" s="14" t="s">
        <v>227</v>
      </c>
      <c r="C61">
        <v>174.7</v>
      </c>
      <c r="D61">
        <v>212.2</v>
      </c>
      <c r="E61">
        <v>177.2</v>
      </c>
      <c r="F61">
        <v>177.9</v>
      </c>
      <c r="G61">
        <v>204.8</v>
      </c>
      <c r="H61">
        <v>172.2</v>
      </c>
      <c r="I61">
        <v>172.1</v>
      </c>
      <c r="J61">
        <v>175.9</v>
      </c>
      <c r="K61">
        <v>172.2</v>
      </c>
      <c r="L61">
        <v>121.9</v>
      </c>
      <c r="M61">
        <v>164.9</v>
      </c>
      <c r="N61">
        <v>196.6</v>
      </c>
    </row>
    <row r="62" spans="2:14">
      <c r="B62" s="14" t="s">
        <v>228</v>
      </c>
      <c r="C62">
        <v>174.8</v>
      </c>
      <c r="D62">
        <v>213.7</v>
      </c>
      <c r="E62">
        <v>172.4</v>
      </c>
      <c r="F62">
        <v>178.8</v>
      </c>
      <c r="G62">
        <v>207.8</v>
      </c>
      <c r="H62">
        <v>168.7</v>
      </c>
      <c r="I62">
        <v>179.2</v>
      </c>
      <c r="J62">
        <v>179.9</v>
      </c>
      <c r="K62">
        <v>174.7</v>
      </c>
      <c r="L62">
        <v>123.1</v>
      </c>
      <c r="M62">
        <v>165.5</v>
      </c>
      <c r="N62">
        <v>197</v>
      </c>
    </row>
    <row r="63" spans="2:14">
      <c r="B63" s="14" t="s">
        <v>229</v>
      </c>
      <c r="C63">
        <v>174.7</v>
      </c>
      <c r="D63">
        <v>219.4</v>
      </c>
      <c r="E63">
        <v>176.7</v>
      </c>
      <c r="F63">
        <v>179.4</v>
      </c>
      <c r="G63">
        <v>211.9</v>
      </c>
      <c r="H63">
        <v>164.4</v>
      </c>
      <c r="I63">
        <v>175.8</v>
      </c>
      <c r="J63">
        <v>185</v>
      </c>
      <c r="K63">
        <v>176.9</v>
      </c>
      <c r="L63">
        <v>124.2</v>
      </c>
      <c r="M63">
        <v>165.9</v>
      </c>
      <c r="N63">
        <v>197.7</v>
      </c>
    </row>
    <row r="66" spans="2:45" ht="18">
      <c r="B66" s="83" t="s">
        <v>245</v>
      </c>
      <c r="Q66" s="84" t="s">
        <v>30</v>
      </c>
      <c r="AG66" s="84" t="s">
        <v>33</v>
      </c>
    </row>
    <row r="68" spans="2:45" ht="18">
      <c r="B68" s="79" t="s">
        <v>195</v>
      </c>
      <c r="C68" s="79" t="s">
        <v>233</v>
      </c>
      <c r="D68" s="79" t="s">
        <v>234</v>
      </c>
      <c r="E68" s="79" t="s">
        <v>235</v>
      </c>
      <c r="F68" s="79" t="s">
        <v>236</v>
      </c>
      <c r="G68" s="79" t="s">
        <v>237</v>
      </c>
      <c r="H68" s="79" t="s">
        <v>238</v>
      </c>
      <c r="I68" s="79" t="s">
        <v>239</v>
      </c>
      <c r="J68" s="79" t="s">
        <v>240</v>
      </c>
      <c r="K68" s="79" t="s">
        <v>241</v>
      </c>
      <c r="L68" s="79" t="s">
        <v>242</v>
      </c>
      <c r="M68" s="79" t="s">
        <v>243</v>
      </c>
      <c r="N68" s="79" t="s">
        <v>244</v>
      </c>
      <c r="Q68" s="79" t="s">
        <v>195</v>
      </c>
      <c r="R68" s="79" t="s">
        <v>233</v>
      </c>
      <c r="S68" s="79" t="s">
        <v>234</v>
      </c>
      <c r="T68" s="79" t="s">
        <v>235</v>
      </c>
      <c r="U68" s="79" t="s">
        <v>236</v>
      </c>
      <c r="V68" s="79" t="s">
        <v>237</v>
      </c>
      <c r="W68" s="79" t="s">
        <v>238</v>
      </c>
      <c r="X68" s="79" t="s">
        <v>239</v>
      </c>
      <c r="Y68" s="79" t="s">
        <v>240</v>
      </c>
      <c r="Z68" s="79" t="s">
        <v>241</v>
      </c>
      <c r="AA68" s="79" t="s">
        <v>242</v>
      </c>
      <c r="AB68" s="79" t="s">
        <v>243</v>
      </c>
      <c r="AC68" s="79" t="s">
        <v>244</v>
      </c>
      <c r="AG68" s="79" t="s">
        <v>195</v>
      </c>
      <c r="AH68" s="79" t="s">
        <v>233</v>
      </c>
      <c r="AI68" s="79" t="s">
        <v>234</v>
      </c>
      <c r="AJ68" s="79" t="s">
        <v>235</v>
      </c>
      <c r="AK68" s="79" t="s">
        <v>236</v>
      </c>
      <c r="AL68" s="79" t="s">
        <v>237</v>
      </c>
      <c r="AM68" s="79" t="s">
        <v>238</v>
      </c>
      <c r="AN68" s="79" t="s">
        <v>239</v>
      </c>
      <c r="AO68" s="79" t="s">
        <v>240</v>
      </c>
      <c r="AP68" s="79" t="s">
        <v>241</v>
      </c>
      <c r="AQ68" s="79" t="s">
        <v>242</v>
      </c>
      <c r="AR68" s="79" t="s">
        <v>243</v>
      </c>
      <c r="AS68" s="79" t="s">
        <v>244</v>
      </c>
    </row>
    <row r="69" spans="2:45" ht="18">
      <c r="B69" s="80" t="s">
        <v>217</v>
      </c>
      <c r="C69">
        <v>154.1</v>
      </c>
      <c r="D69">
        <v>217</v>
      </c>
      <c r="E69">
        <v>162.4</v>
      </c>
      <c r="F69">
        <v>164.9</v>
      </c>
      <c r="G69">
        <v>184.9</v>
      </c>
      <c r="H69">
        <v>202.4</v>
      </c>
      <c r="I69">
        <v>171</v>
      </c>
      <c r="J69">
        <v>174.9</v>
      </c>
      <c r="K69">
        <v>164.7</v>
      </c>
      <c r="L69">
        <v>119.7</v>
      </c>
      <c r="M69">
        <v>167.1</v>
      </c>
      <c r="N69">
        <v>182.5</v>
      </c>
      <c r="Q69" s="14" t="s">
        <v>217</v>
      </c>
      <c r="R69">
        <v>152.9</v>
      </c>
      <c r="S69">
        <v>214.7</v>
      </c>
      <c r="T69">
        <v>161.4</v>
      </c>
      <c r="U69">
        <v>164.6</v>
      </c>
      <c r="V69">
        <v>186.6</v>
      </c>
      <c r="W69">
        <v>209.9</v>
      </c>
      <c r="X69">
        <v>168</v>
      </c>
      <c r="Y69">
        <v>160.4</v>
      </c>
      <c r="Z69">
        <v>165</v>
      </c>
      <c r="AA69">
        <v>118.9</v>
      </c>
      <c r="AB69">
        <v>173.2</v>
      </c>
      <c r="AC69">
        <v>180.4</v>
      </c>
      <c r="AG69" s="14" t="s">
        <v>217</v>
      </c>
      <c r="AH69">
        <v>156.69999999999999</v>
      </c>
      <c r="AI69">
        <v>221.2</v>
      </c>
      <c r="AJ69">
        <v>164.1</v>
      </c>
      <c r="AK69">
        <v>165.4</v>
      </c>
      <c r="AL69">
        <v>181.4</v>
      </c>
      <c r="AM69">
        <v>189.5</v>
      </c>
      <c r="AN69">
        <v>174.5</v>
      </c>
      <c r="AO69">
        <v>203.2</v>
      </c>
      <c r="AP69">
        <v>164.1</v>
      </c>
      <c r="AQ69">
        <v>121.2</v>
      </c>
      <c r="AR69">
        <v>158.5</v>
      </c>
      <c r="AS69">
        <v>184.9</v>
      </c>
    </row>
    <row r="70" spans="2:45" ht="18">
      <c r="B70" s="80" t="s">
        <v>218</v>
      </c>
      <c r="C70">
        <v>155</v>
      </c>
      <c r="D70">
        <v>219.4</v>
      </c>
      <c r="E70">
        <v>170.8</v>
      </c>
      <c r="F70">
        <v>165.8</v>
      </c>
      <c r="G70">
        <v>187.1</v>
      </c>
      <c r="H70">
        <v>200.9</v>
      </c>
      <c r="I70">
        <v>169.7</v>
      </c>
      <c r="J70">
        <v>182.3</v>
      </c>
      <c r="K70">
        <v>164.3</v>
      </c>
      <c r="L70">
        <v>119.9</v>
      </c>
      <c r="M70">
        <v>167.9</v>
      </c>
      <c r="N70">
        <v>183.9</v>
      </c>
      <c r="Q70" s="14" t="s">
        <v>218</v>
      </c>
      <c r="R70">
        <v>153.80000000000001</v>
      </c>
      <c r="S70">
        <v>217.2</v>
      </c>
      <c r="T70">
        <v>169.6</v>
      </c>
      <c r="U70">
        <v>165.4</v>
      </c>
      <c r="V70">
        <v>188.9</v>
      </c>
      <c r="W70">
        <v>208.1</v>
      </c>
      <c r="X70">
        <v>165.8</v>
      </c>
      <c r="Y70">
        <v>167.3</v>
      </c>
      <c r="Z70">
        <v>164.6</v>
      </c>
      <c r="AA70">
        <v>119.1</v>
      </c>
      <c r="AB70">
        <v>174.2</v>
      </c>
      <c r="AC70">
        <v>181.9</v>
      </c>
      <c r="AG70" s="14" t="s">
        <v>218</v>
      </c>
      <c r="AH70">
        <v>157.5</v>
      </c>
      <c r="AI70">
        <v>223.4</v>
      </c>
      <c r="AJ70">
        <v>172.8</v>
      </c>
      <c r="AK70">
        <v>166.4</v>
      </c>
      <c r="AL70">
        <v>183.5</v>
      </c>
      <c r="AM70">
        <v>188.6</v>
      </c>
      <c r="AN70">
        <v>174.1</v>
      </c>
      <c r="AO70">
        <v>211.5</v>
      </c>
      <c r="AP70">
        <v>163.6</v>
      </c>
      <c r="AQ70">
        <v>121.4</v>
      </c>
      <c r="AR70">
        <v>159.1</v>
      </c>
      <c r="AS70">
        <v>186.3</v>
      </c>
    </row>
    <row r="71" spans="2:45" ht="18">
      <c r="B71" s="80" t="s">
        <v>219</v>
      </c>
      <c r="C71">
        <v>156.5</v>
      </c>
      <c r="D71">
        <v>213</v>
      </c>
      <c r="E71">
        <v>175.2</v>
      </c>
      <c r="F71">
        <v>166.6</v>
      </c>
      <c r="G71">
        <v>190</v>
      </c>
      <c r="H71">
        <v>195.8</v>
      </c>
      <c r="I71">
        <v>174.2</v>
      </c>
      <c r="J71">
        <v>182.1</v>
      </c>
      <c r="K71">
        <v>164.3</v>
      </c>
      <c r="L71">
        <v>120</v>
      </c>
      <c r="M71">
        <v>168.4</v>
      </c>
      <c r="N71">
        <v>185.2</v>
      </c>
      <c r="Q71" s="14" t="s">
        <v>219</v>
      </c>
      <c r="R71">
        <v>155.19999999999999</v>
      </c>
      <c r="S71">
        <v>210.8</v>
      </c>
      <c r="T71">
        <v>174.3</v>
      </c>
      <c r="U71">
        <v>166.3</v>
      </c>
      <c r="V71">
        <v>191.8</v>
      </c>
      <c r="W71">
        <v>202.2</v>
      </c>
      <c r="X71">
        <v>169.6</v>
      </c>
      <c r="Y71">
        <v>168.6</v>
      </c>
      <c r="Z71">
        <v>164.4</v>
      </c>
      <c r="AA71">
        <v>119.2</v>
      </c>
      <c r="AB71">
        <v>174.5</v>
      </c>
      <c r="AC71">
        <v>183.1</v>
      </c>
      <c r="AG71" s="14" t="s">
        <v>219</v>
      </c>
      <c r="AH71">
        <v>159.30000000000001</v>
      </c>
      <c r="AI71">
        <v>217.1</v>
      </c>
      <c r="AJ71">
        <v>176.6</v>
      </c>
      <c r="AK71">
        <v>167.1</v>
      </c>
      <c r="AL71">
        <v>186.3</v>
      </c>
      <c r="AM71">
        <v>184.8</v>
      </c>
      <c r="AN71">
        <v>179.5</v>
      </c>
      <c r="AO71">
        <v>208.5</v>
      </c>
      <c r="AP71">
        <v>164</v>
      </c>
      <c r="AQ71">
        <v>121.5</v>
      </c>
      <c r="AR71">
        <v>159.80000000000001</v>
      </c>
      <c r="AS71">
        <v>187.7</v>
      </c>
    </row>
    <row r="72" spans="2:45" ht="18">
      <c r="B72" s="80" t="s">
        <v>220</v>
      </c>
      <c r="C72">
        <v>160.30000000000001</v>
      </c>
      <c r="D72">
        <v>206.5</v>
      </c>
      <c r="E72">
        <v>169.2</v>
      </c>
      <c r="F72">
        <v>168.1</v>
      </c>
      <c r="G72">
        <v>193.6</v>
      </c>
      <c r="H72">
        <v>192.4</v>
      </c>
      <c r="I72">
        <v>172.9</v>
      </c>
      <c r="J72">
        <v>186.7</v>
      </c>
      <c r="K72">
        <v>167.2</v>
      </c>
      <c r="L72">
        <v>120.9</v>
      </c>
      <c r="M72">
        <v>168.8</v>
      </c>
      <c r="N72">
        <v>186.3</v>
      </c>
      <c r="Q72" s="14" t="s">
        <v>220</v>
      </c>
      <c r="R72">
        <v>159.5</v>
      </c>
      <c r="S72">
        <v>204.1</v>
      </c>
      <c r="T72">
        <v>168.3</v>
      </c>
      <c r="U72">
        <v>167.9</v>
      </c>
      <c r="V72">
        <v>195.6</v>
      </c>
      <c r="W72">
        <v>198.1</v>
      </c>
      <c r="X72">
        <v>169.2</v>
      </c>
      <c r="Y72">
        <v>173.1</v>
      </c>
      <c r="Z72">
        <v>167.1</v>
      </c>
      <c r="AA72">
        <v>120.2</v>
      </c>
      <c r="AB72">
        <v>174.8</v>
      </c>
      <c r="AC72">
        <v>184</v>
      </c>
      <c r="AG72" s="14" t="s">
        <v>220</v>
      </c>
      <c r="AH72">
        <v>162.1</v>
      </c>
      <c r="AI72">
        <v>210.9</v>
      </c>
      <c r="AJ72">
        <v>170.6</v>
      </c>
      <c r="AK72">
        <v>168.4</v>
      </c>
      <c r="AL72">
        <v>189.7</v>
      </c>
      <c r="AM72">
        <v>182.5</v>
      </c>
      <c r="AN72">
        <v>177.1</v>
      </c>
      <c r="AO72">
        <v>213.1</v>
      </c>
      <c r="AP72">
        <v>167.3</v>
      </c>
      <c r="AQ72">
        <v>122.2</v>
      </c>
      <c r="AR72">
        <v>160.5</v>
      </c>
      <c r="AS72">
        <v>188.9</v>
      </c>
    </row>
    <row r="73" spans="2:45" ht="18">
      <c r="B73" s="80" t="s">
        <v>221</v>
      </c>
      <c r="C73">
        <v>163.5</v>
      </c>
      <c r="D73">
        <v>209.2</v>
      </c>
      <c r="E73">
        <v>169.7</v>
      </c>
      <c r="F73">
        <v>169.7</v>
      </c>
      <c r="G73">
        <v>197.3</v>
      </c>
      <c r="H73">
        <v>188.7</v>
      </c>
      <c r="I73">
        <v>165.7</v>
      </c>
      <c r="J73">
        <v>191.8</v>
      </c>
      <c r="K73">
        <v>169.1</v>
      </c>
      <c r="L73">
        <v>121.6</v>
      </c>
      <c r="M73">
        <v>169.4</v>
      </c>
      <c r="N73">
        <v>187.4</v>
      </c>
      <c r="Q73" s="14" t="s">
        <v>221</v>
      </c>
      <c r="R73">
        <v>162.9</v>
      </c>
      <c r="S73">
        <v>206.7</v>
      </c>
      <c r="T73">
        <v>169</v>
      </c>
      <c r="U73">
        <v>169.5</v>
      </c>
      <c r="V73">
        <v>199.1</v>
      </c>
      <c r="W73">
        <v>194.1</v>
      </c>
      <c r="X73">
        <v>164.1</v>
      </c>
      <c r="Y73">
        <v>176.9</v>
      </c>
      <c r="Z73">
        <v>169</v>
      </c>
      <c r="AA73">
        <v>120.8</v>
      </c>
      <c r="AB73">
        <v>175.4</v>
      </c>
      <c r="AC73">
        <v>184.8</v>
      </c>
      <c r="AG73" s="14" t="s">
        <v>221</v>
      </c>
      <c r="AH73">
        <v>164.9</v>
      </c>
      <c r="AI73">
        <v>213.7</v>
      </c>
      <c r="AJ73">
        <v>170.9</v>
      </c>
      <c r="AK73">
        <v>170.1</v>
      </c>
      <c r="AL73">
        <v>193.6</v>
      </c>
      <c r="AM73">
        <v>179.3</v>
      </c>
      <c r="AN73">
        <v>167.5</v>
      </c>
      <c r="AO73">
        <v>220.8</v>
      </c>
      <c r="AP73">
        <v>169.2</v>
      </c>
      <c r="AQ73">
        <v>123.1</v>
      </c>
      <c r="AR73">
        <v>161.1</v>
      </c>
      <c r="AS73">
        <v>190.4</v>
      </c>
    </row>
    <row r="74" spans="2:45" ht="18">
      <c r="B74" s="80" t="s">
        <v>222</v>
      </c>
      <c r="C74">
        <v>165.2</v>
      </c>
      <c r="D74">
        <v>210.9</v>
      </c>
      <c r="E74">
        <v>170.9</v>
      </c>
      <c r="F74">
        <v>170.9</v>
      </c>
      <c r="G74">
        <v>199.9</v>
      </c>
      <c r="H74">
        <v>186.5</v>
      </c>
      <c r="I74">
        <v>163.80000000000001</v>
      </c>
      <c r="J74">
        <v>199.7</v>
      </c>
      <c r="K74">
        <v>169.8</v>
      </c>
      <c r="L74">
        <v>121.9</v>
      </c>
      <c r="M74">
        <v>169.9</v>
      </c>
      <c r="N74">
        <v>188.3</v>
      </c>
      <c r="Q74" s="14" t="s">
        <v>222</v>
      </c>
      <c r="R74">
        <v>164.7</v>
      </c>
      <c r="S74">
        <v>208.8</v>
      </c>
      <c r="T74">
        <v>170.3</v>
      </c>
      <c r="U74">
        <v>170.9</v>
      </c>
      <c r="V74">
        <v>201.6</v>
      </c>
      <c r="W74">
        <v>191.6</v>
      </c>
      <c r="X74">
        <v>162.19999999999999</v>
      </c>
      <c r="Y74">
        <v>184.8</v>
      </c>
      <c r="Z74">
        <v>169.7</v>
      </c>
      <c r="AA74">
        <v>121.1</v>
      </c>
      <c r="AB74">
        <v>175.8</v>
      </c>
      <c r="AC74">
        <v>185.6</v>
      </c>
      <c r="AG74" s="14" t="s">
        <v>222</v>
      </c>
      <c r="AH74">
        <v>166.4</v>
      </c>
      <c r="AI74">
        <v>214.9</v>
      </c>
      <c r="AJ74">
        <v>171.9</v>
      </c>
      <c r="AK74">
        <v>171</v>
      </c>
      <c r="AL74">
        <v>196.4</v>
      </c>
      <c r="AM74">
        <v>177.7</v>
      </c>
      <c r="AN74">
        <v>165.7</v>
      </c>
      <c r="AO74">
        <v>228.6</v>
      </c>
      <c r="AP74">
        <v>169.9</v>
      </c>
      <c r="AQ74">
        <v>123.4</v>
      </c>
      <c r="AR74">
        <v>161.6</v>
      </c>
      <c r="AS74">
        <v>191.5</v>
      </c>
    </row>
    <row r="75" spans="2:45" ht="18">
      <c r="B75" s="80" t="s">
        <v>223</v>
      </c>
      <c r="C75">
        <v>167.4</v>
      </c>
      <c r="D75">
        <v>209.4</v>
      </c>
      <c r="E75">
        <v>181.4</v>
      </c>
      <c r="F75">
        <v>172.3</v>
      </c>
      <c r="G75">
        <v>202.8</v>
      </c>
      <c r="H75">
        <v>188.9</v>
      </c>
      <c r="I75">
        <v>160.69999999999999</v>
      </c>
      <c r="J75">
        <v>183.1</v>
      </c>
      <c r="K75">
        <v>170.5</v>
      </c>
      <c r="L75">
        <v>122.1</v>
      </c>
      <c r="M75">
        <v>170.4</v>
      </c>
      <c r="N75">
        <v>189.5</v>
      </c>
      <c r="Q75" s="14" t="s">
        <v>223</v>
      </c>
      <c r="R75">
        <v>166.9</v>
      </c>
      <c r="S75">
        <v>207.2</v>
      </c>
      <c r="T75">
        <v>180.2</v>
      </c>
      <c r="U75">
        <v>172.3</v>
      </c>
      <c r="V75">
        <v>204.8</v>
      </c>
      <c r="W75">
        <v>194</v>
      </c>
      <c r="X75">
        <v>159.1</v>
      </c>
      <c r="Y75">
        <v>171.6</v>
      </c>
      <c r="Z75">
        <v>170.2</v>
      </c>
      <c r="AA75">
        <v>121.5</v>
      </c>
      <c r="AB75">
        <v>176.4</v>
      </c>
      <c r="AC75">
        <v>186.9</v>
      </c>
      <c r="AG75" s="14" t="s">
        <v>223</v>
      </c>
      <c r="AH75">
        <v>168.4</v>
      </c>
      <c r="AI75">
        <v>213.4</v>
      </c>
      <c r="AJ75">
        <v>183.2</v>
      </c>
      <c r="AK75">
        <v>172.3</v>
      </c>
      <c r="AL75">
        <v>198.8</v>
      </c>
      <c r="AM75">
        <v>180</v>
      </c>
      <c r="AN75">
        <v>162.6</v>
      </c>
      <c r="AO75">
        <v>205.5</v>
      </c>
      <c r="AP75">
        <v>171</v>
      </c>
      <c r="AQ75">
        <v>123.4</v>
      </c>
      <c r="AR75">
        <v>162.1</v>
      </c>
      <c r="AS75">
        <v>192.4</v>
      </c>
    </row>
    <row r="76" spans="2:45" ht="18">
      <c r="B76" s="80" t="s">
        <v>224</v>
      </c>
      <c r="C76">
        <v>169.2</v>
      </c>
      <c r="D76">
        <v>209</v>
      </c>
      <c r="E76">
        <v>190.2</v>
      </c>
      <c r="F76">
        <v>173.6</v>
      </c>
      <c r="G76">
        <v>205.2</v>
      </c>
      <c r="H76">
        <v>188.5</v>
      </c>
      <c r="I76">
        <v>158</v>
      </c>
      <c r="J76">
        <v>159.9</v>
      </c>
      <c r="K76">
        <v>170.8</v>
      </c>
      <c r="L76">
        <v>121.8</v>
      </c>
      <c r="M76">
        <v>171</v>
      </c>
      <c r="N76">
        <v>190.3</v>
      </c>
      <c r="Q76" s="14" t="s">
        <v>224</v>
      </c>
      <c r="R76">
        <v>168.8</v>
      </c>
      <c r="S76">
        <v>206.9</v>
      </c>
      <c r="T76">
        <v>189.1</v>
      </c>
      <c r="U76">
        <v>173.4</v>
      </c>
      <c r="V76">
        <v>207.5</v>
      </c>
      <c r="W76">
        <v>193.9</v>
      </c>
      <c r="X76">
        <v>156.69999999999999</v>
      </c>
      <c r="Y76">
        <v>150.19999999999999</v>
      </c>
      <c r="Z76">
        <v>170.5</v>
      </c>
      <c r="AA76">
        <v>121.2</v>
      </c>
      <c r="AB76">
        <v>176.8</v>
      </c>
      <c r="AC76">
        <v>187.7</v>
      </c>
      <c r="AG76" s="14" t="s">
        <v>224</v>
      </c>
      <c r="AH76">
        <v>170.2</v>
      </c>
      <c r="AI76">
        <v>212.9</v>
      </c>
      <c r="AJ76">
        <v>191.9</v>
      </c>
      <c r="AK76">
        <v>173.9</v>
      </c>
      <c r="AL76">
        <v>200.5</v>
      </c>
      <c r="AM76">
        <v>179.1</v>
      </c>
      <c r="AN76">
        <v>159.5</v>
      </c>
      <c r="AO76">
        <v>178.7</v>
      </c>
      <c r="AP76">
        <v>171.3</v>
      </c>
      <c r="AQ76">
        <v>123.1</v>
      </c>
      <c r="AR76">
        <v>162.80000000000001</v>
      </c>
      <c r="AS76">
        <v>193.3</v>
      </c>
    </row>
    <row r="77" spans="2:45" ht="18">
      <c r="B77" s="80" t="s">
        <v>225</v>
      </c>
      <c r="C77">
        <v>173.8</v>
      </c>
      <c r="D77">
        <v>210.7</v>
      </c>
      <c r="E77">
        <v>194.5</v>
      </c>
      <c r="F77">
        <v>174.6</v>
      </c>
      <c r="G77">
        <v>208.4</v>
      </c>
      <c r="H77">
        <v>187.2</v>
      </c>
      <c r="I77">
        <v>158.30000000000001</v>
      </c>
      <c r="J77">
        <v>153.9</v>
      </c>
      <c r="K77">
        <v>170.9</v>
      </c>
      <c r="L77">
        <v>121.1</v>
      </c>
      <c r="M77">
        <v>171.4</v>
      </c>
      <c r="N77">
        <v>191.2</v>
      </c>
      <c r="Q77" s="14" t="s">
        <v>225</v>
      </c>
      <c r="R77">
        <v>174</v>
      </c>
      <c r="S77">
        <v>208.3</v>
      </c>
      <c r="T77">
        <v>192.9</v>
      </c>
      <c r="U77">
        <v>174.3</v>
      </c>
      <c r="V77">
        <v>210.5</v>
      </c>
      <c r="W77">
        <v>192.6</v>
      </c>
      <c r="X77">
        <v>156.30000000000001</v>
      </c>
      <c r="Y77">
        <v>142.9</v>
      </c>
      <c r="Z77">
        <v>170.7</v>
      </c>
      <c r="AA77">
        <v>120.3</v>
      </c>
      <c r="AB77">
        <v>176.9</v>
      </c>
      <c r="AC77">
        <v>188.5</v>
      </c>
      <c r="AG77" s="14" t="s">
        <v>225</v>
      </c>
      <c r="AH77">
        <v>173.3</v>
      </c>
      <c r="AI77">
        <v>215.2</v>
      </c>
      <c r="AJ77">
        <v>197</v>
      </c>
      <c r="AK77">
        <v>175.2</v>
      </c>
      <c r="AL77">
        <v>204.3</v>
      </c>
      <c r="AM77">
        <v>178</v>
      </c>
      <c r="AN77">
        <v>160.5</v>
      </c>
      <c r="AO77">
        <v>175.3</v>
      </c>
      <c r="AP77">
        <v>171.2</v>
      </c>
      <c r="AQ77">
        <v>122.7</v>
      </c>
      <c r="AR77">
        <v>163.69999999999999</v>
      </c>
      <c r="AS77">
        <v>194.3</v>
      </c>
    </row>
    <row r="78" spans="2:45" ht="18">
      <c r="B78" s="80" t="s">
        <v>226</v>
      </c>
      <c r="C78">
        <v>174.4</v>
      </c>
      <c r="D78">
        <v>207.7</v>
      </c>
      <c r="E78">
        <v>175.2</v>
      </c>
      <c r="F78">
        <v>177.3</v>
      </c>
      <c r="G78">
        <v>209.7</v>
      </c>
      <c r="H78">
        <v>179.3</v>
      </c>
      <c r="I78">
        <v>169.5</v>
      </c>
      <c r="J78">
        <v>152.69999999999999</v>
      </c>
      <c r="K78">
        <v>171</v>
      </c>
      <c r="L78">
        <v>120</v>
      </c>
      <c r="M78">
        <v>172.3</v>
      </c>
      <c r="N78">
        <v>193</v>
      </c>
      <c r="Q78" s="14" t="s">
        <v>226</v>
      </c>
      <c r="R78">
        <v>174.2</v>
      </c>
      <c r="S78">
        <v>205.2</v>
      </c>
      <c r="T78">
        <v>173.9</v>
      </c>
      <c r="U78">
        <v>177</v>
      </c>
      <c r="V78">
        <v>212.1</v>
      </c>
      <c r="W78">
        <v>183.4</v>
      </c>
      <c r="X78">
        <v>167.2</v>
      </c>
      <c r="Y78">
        <v>140.9</v>
      </c>
      <c r="Z78">
        <v>170.4</v>
      </c>
      <c r="AA78">
        <v>119.1</v>
      </c>
      <c r="AB78">
        <v>177.6</v>
      </c>
      <c r="AC78">
        <v>189.9</v>
      </c>
      <c r="AG78" s="14" t="s">
        <v>226</v>
      </c>
      <c r="AH78">
        <v>174.7</v>
      </c>
      <c r="AI78">
        <v>212.2</v>
      </c>
      <c r="AJ78">
        <v>177.2</v>
      </c>
      <c r="AK78">
        <v>177.9</v>
      </c>
      <c r="AL78">
        <v>204.8</v>
      </c>
      <c r="AM78">
        <v>172.2</v>
      </c>
      <c r="AN78">
        <v>172.1</v>
      </c>
      <c r="AO78">
        <v>175.8</v>
      </c>
      <c r="AP78">
        <v>172.2</v>
      </c>
      <c r="AQ78">
        <v>121.9</v>
      </c>
      <c r="AR78">
        <v>164.9</v>
      </c>
      <c r="AS78">
        <v>196.6</v>
      </c>
    </row>
    <row r="79" spans="2:45" ht="18">
      <c r="B79" s="80" t="s">
        <v>227</v>
      </c>
      <c r="C79">
        <v>174.4</v>
      </c>
      <c r="D79">
        <v>207.7</v>
      </c>
      <c r="E79">
        <v>175.2</v>
      </c>
      <c r="F79">
        <v>177.3</v>
      </c>
      <c r="G79">
        <v>209.7</v>
      </c>
      <c r="H79">
        <v>179.2</v>
      </c>
      <c r="I79">
        <v>169.5</v>
      </c>
      <c r="J79">
        <v>152.80000000000001</v>
      </c>
      <c r="K79">
        <v>171.1</v>
      </c>
      <c r="L79">
        <v>120</v>
      </c>
      <c r="M79">
        <v>172.3</v>
      </c>
      <c r="N79">
        <v>193</v>
      </c>
      <c r="Q79" s="14" t="s">
        <v>227</v>
      </c>
      <c r="R79">
        <v>174.3</v>
      </c>
      <c r="S79">
        <v>205.2</v>
      </c>
      <c r="T79">
        <v>173.9</v>
      </c>
      <c r="U79">
        <v>177</v>
      </c>
      <c r="V79">
        <v>212.1</v>
      </c>
      <c r="W79">
        <v>183.3</v>
      </c>
      <c r="X79">
        <v>167.2</v>
      </c>
      <c r="Y79">
        <v>140.9</v>
      </c>
      <c r="Z79">
        <v>170.5</v>
      </c>
      <c r="AA79">
        <v>119.1</v>
      </c>
      <c r="AB79">
        <v>177.6</v>
      </c>
      <c r="AC79">
        <v>189.9</v>
      </c>
      <c r="AG79" s="14" t="s">
        <v>227</v>
      </c>
      <c r="AH79">
        <v>174.7</v>
      </c>
      <c r="AI79">
        <v>212.2</v>
      </c>
      <c r="AJ79">
        <v>177.2</v>
      </c>
      <c r="AK79">
        <v>177.9</v>
      </c>
      <c r="AL79">
        <v>204.8</v>
      </c>
      <c r="AM79">
        <v>172.2</v>
      </c>
      <c r="AN79">
        <v>172.1</v>
      </c>
      <c r="AO79">
        <v>175.9</v>
      </c>
      <c r="AP79">
        <v>172.2</v>
      </c>
      <c r="AQ79">
        <v>121.9</v>
      </c>
      <c r="AR79">
        <v>164.9</v>
      </c>
      <c r="AS79">
        <v>196.6</v>
      </c>
    </row>
    <row r="80" spans="2:45" ht="18">
      <c r="B80" s="80" t="s">
        <v>228</v>
      </c>
      <c r="C80">
        <v>173.8</v>
      </c>
      <c r="D80">
        <v>209.3</v>
      </c>
      <c r="E80">
        <v>169.6</v>
      </c>
      <c r="F80">
        <v>178.4</v>
      </c>
      <c r="G80">
        <v>212.9</v>
      </c>
      <c r="H80">
        <v>174.9</v>
      </c>
      <c r="I80">
        <v>176.3</v>
      </c>
      <c r="J80">
        <v>155.4</v>
      </c>
      <c r="K80">
        <v>173.4</v>
      </c>
      <c r="L80">
        <v>121.3</v>
      </c>
      <c r="M80">
        <v>172.9</v>
      </c>
      <c r="N80">
        <v>193.5</v>
      </c>
      <c r="Q80" s="14" t="s">
        <v>228</v>
      </c>
      <c r="R80">
        <v>173.3</v>
      </c>
      <c r="S80">
        <v>206.9</v>
      </c>
      <c r="T80">
        <v>167.9</v>
      </c>
      <c r="U80">
        <v>178.2</v>
      </c>
      <c r="V80">
        <v>215.5</v>
      </c>
      <c r="W80">
        <v>178.5</v>
      </c>
      <c r="X80">
        <v>173.7</v>
      </c>
      <c r="Y80">
        <v>142.80000000000001</v>
      </c>
      <c r="Z80">
        <v>172.8</v>
      </c>
      <c r="AA80">
        <v>120.4</v>
      </c>
      <c r="AB80">
        <v>178.2</v>
      </c>
      <c r="AC80">
        <v>190.5</v>
      </c>
      <c r="AG80" s="14" t="s">
        <v>228</v>
      </c>
      <c r="AH80">
        <v>174.8</v>
      </c>
      <c r="AI80">
        <v>213.7</v>
      </c>
      <c r="AJ80">
        <v>172.4</v>
      </c>
      <c r="AK80">
        <v>178.8</v>
      </c>
      <c r="AL80">
        <v>207.8</v>
      </c>
      <c r="AM80">
        <v>168.7</v>
      </c>
      <c r="AN80">
        <v>179.2</v>
      </c>
      <c r="AO80">
        <v>179.9</v>
      </c>
      <c r="AP80">
        <v>174.7</v>
      </c>
      <c r="AQ80">
        <v>123.1</v>
      </c>
      <c r="AR80">
        <v>165.5</v>
      </c>
      <c r="AS80">
        <v>197</v>
      </c>
    </row>
    <row r="81" spans="2:45" ht="18">
      <c r="B81" s="80" t="s">
        <v>229</v>
      </c>
      <c r="C81">
        <v>173.7</v>
      </c>
      <c r="D81">
        <v>214.3</v>
      </c>
      <c r="E81">
        <v>173.2</v>
      </c>
      <c r="F81">
        <v>179.5</v>
      </c>
      <c r="G81">
        <v>218</v>
      </c>
      <c r="H81">
        <v>170</v>
      </c>
      <c r="I81">
        <v>172.2</v>
      </c>
      <c r="J81">
        <v>161</v>
      </c>
      <c r="K81">
        <v>175.6</v>
      </c>
      <c r="L81">
        <v>122.7</v>
      </c>
      <c r="M81">
        <v>173.4</v>
      </c>
      <c r="N81">
        <v>194.2</v>
      </c>
      <c r="Q81" s="14" t="s">
        <v>229</v>
      </c>
      <c r="R81">
        <v>173.2</v>
      </c>
      <c r="S81">
        <v>211.5</v>
      </c>
      <c r="T81">
        <v>171</v>
      </c>
      <c r="U81">
        <v>179.6</v>
      </c>
      <c r="V81">
        <v>221</v>
      </c>
      <c r="W81">
        <v>173.3</v>
      </c>
      <c r="X81">
        <v>169</v>
      </c>
      <c r="Y81">
        <v>148.69999999999999</v>
      </c>
      <c r="Z81">
        <v>174.9</v>
      </c>
      <c r="AA81">
        <v>121.9</v>
      </c>
      <c r="AB81">
        <v>178.7</v>
      </c>
      <c r="AC81">
        <v>191.1</v>
      </c>
      <c r="AG81" s="14" t="s">
        <v>229</v>
      </c>
      <c r="AH81">
        <v>174.7</v>
      </c>
      <c r="AI81">
        <v>219.4</v>
      </c>
      <c r="AJ81">
        <v>176.7</v>
      </c>
      <c r="AK81">
        <v>179.4</v>
      </c>
      <c r="AL81">
        <v>211.9</v>
      </c>
      <c r="AM81">
        <v>164.4</v>
      </c>
      <c r="AN81">
        <v>175.8</v>
      </c>
      <c r="AO81">
        <v>185</v>
      </c>
      <c r="AP81">
        <v>176.9</v>
      </c>
      <c r="AQ81">
        <v>124.2</v>
      </c>
      <c r="AR81">
        <v>165.9</v>
      </c>
      <c r="AS81">
        <v>197.7</v>
      </c>
    </row>
    <row r="86" spans="2:45" ht="18">
      <c r="B86" s="79" t="s">
        <v>195</v>
      </c>
      <c r="C86" s="79" t="s">
        <v>233</v>
      </c>
      <c r="D86" s="79" t="s">
        <v>234</v>
      </c>
      <c r="E86" s="79" t="s">
        <v>235</v>
      </c>
      <c r="F86" s="79" t="s">
        <v>236</v>
      </c>
      <c r="G86" s="79" t="s">
        <v>237</v>
      </c>
      <c r="H86" s="79" t="s">
        <v>238</v>
      </c>
      <c r="I86" s="79" t="s">
        <v>239</v>
      </c>
      <c r="J86" s="79" t="s">
        <v>240</v>
      </c>
      <c r="K86" s="79" t="s">
        <v>241</v>
      </c>
      <c r="L86" s="79" t="s">
        <v>242</v>
      </c>
      <c r="M86" s="79" t="s">
        <v>243</v>
      </c>
      <c r="N86" s="79" t="s">
        <v>244</v>
      </c>
      <c r="Q86" s="79" t="s">
        <v>195</v>
      </c>
      <c r="R86" s="79" t="s">
        <v>233</v>
      </c>
      <c r="S86" s="79" t="s">
        <v>234</v>
      </c>
      <c r="T86" s="79" t="s">
        <v>235</v>
      </c>
      <c r="U86" s="79" t="s">
        <v>236</v>
      </c>
      <c r="V86" s="79" t="s">
        <v>237</v>
      </c>
      <c r="W86" s="79" t="s">
        <v>238</v>
      </c>
      <c r="X86" s="79" t="s">
        <v>239</v>
      </c>
      <c r="Y86" s="79" t="s">
        <v>240</v>
      </c>
      <c r="Z86" s="79" t="s">
        <v>241</v>
      </c>
      <c r="AA86" s="79" t="s">
        <v>242</v>
      </c>
      <c r="AB86" s="79" t="s">
        <v>243</v>
      </c>
      <c r="AC86" s="79" t="s">
        <v>244</v>
      </c>
      <c r="AG86" s="79" t="s">
        <v>195</v>
      </c>
      <c r="AH86" s="79" t="s">
        <v>233</v>
      </c>
      <c r="AI86" s="79" t="s">
        <v>234</v>
      </c>
      <c r="AJ86" s="79" t="s">
        <v>235</v>
      </c>
      <c r="AK86" s="79" t="s">
        <v>236</v>
      </c>
      <c r="AL86" s="79" t="s">
        <v>237</v>
      </c>
      <c r="AM86" s="79" t="s">
        <v>238</v>
      </c>
      <c r="AN86" s="79" t="s">
        <v>239</v>
      </c>
      <c r="AO86" s="79" t="s">
        <v>240</v>
      </c>
      <c r="AP86" s="79" t="s">
        <v>241</v>
      </c>
      <c r="AQ86" s="79" t="s">
        <v>242</v>
      </c>
      <c r="AR86" s="79" t="s">
        <v>243</v>
      </c>
      <c r="AS86" s="79" t="s">
        <v>244</v>
      </c>
    </row>
    <row r="87" spans="2:45" ht="18">
      <c r="B87" s="80" t="s">
        <v>217</v>
      </c>
      <c r="C87" s="64">
        <f>(C70-C69)/C69</f>
        <v>5.8403634003893947E-3</v>
      </c>
      <c r="D87" s="64">
        <f>(D70-D69)/D69</f>
        <v>1.1059907834101408E-2</v>
      </c>
      <c r="E87" s="64">
        <f t="shared" ref="E87:N87" si="2">(E70-E69)/E69</f>
        <v>5.1724137931034517E-2</v>
      </c>
      <c r="F87" s="64">
        <f t="shared" si="2"/>
        <v>5.4578532443905741E-3</v>
      </c>
      <c r="G87" s="64">
        <f t="shared" si="2"/>
        <v>1.1898323418063756E-2</v>
      </c>
      <c r="H87" s="64">
        <f t="shared" si="2"/>
        <v>-7.411067193675889E-3</v>
      </c>
      <c r="I87" s="64">
        <f t="shared" si="2"/>
        <v>-7.6023391812866164E-3</v>
      </c>
      <c r="J87" s="64">
        <f t="shared" si="2"/>
        <v>4.230989136649517E-2</v>
      </c>
      <c r="K87" s="64">
        <f t="shared" si="2"/>
        <v>-2.4286581663629466E-3</v>
      </c>
      <c r="L87" s="64">
        <f t="shared" si="2"/>
        <v>1.6708437761069578E-3</v>
      </c>
      <c r="M87" s="64">
        <f t="shared" si="2"/>
        <v>4.7875523638540481E-3</v>
      </c>
      <c r="N87" s="64">
        <f t="shared" si="2"/>
        <v>7.6712328767123599E-3</v>
      </c>
      <c r="Q87" s="14" t="s">
        <v>217</v>
      </c>
      <c r="R87" s="64">
        <f>(R70-R69)/R69</f>
        <v>5.8862001308044847E-3</v>
      </c>
      <c r="S87" s="64">
        <f t="shared" ref="S87:AC87" si="3">(S70-S69)/S69</f>
        <v>1.1644154634373545E-2</v>
      </c>
      <c r="T87" s="64">
        <f t="shared" si="3"/>
        <v>5.0805452292441065E-2</v>
      </c>
      <c r="U87" s="64">
        <f t="shared" si="3"/>
        <v>4.8602673147023776E-3</v>
      </c>
      <c r="V87" s="64">
        <f t="shared" si="3"/>
        <v>1.2325830653804992E-2</v>
      </c>
      <c r="W87" s="64">
        <f t="shared" si="3"/>
        <v>-8.5755121486422638E-3</v>
      </c>
      <c r="X87" s="64">
        <f t="shared" si="3"/>
        <v>-1.3095238095238028E-2</v>
      </c>
      <c r="Y87" s="64">
        <f t="shared" si="3"/>
        <v>4.3017456359102278E-2</v>
      </c>
      <c r="Z87" s="64">
        <f t="shared" si="3"/>
        <v>-2.4242424242424585E-3</v>
      </c>
      <c r="AA87" s="64">
        <f t="shared" si="3"/>
        <v>1.6820857863750094E-3</v>
      </c>
      <c r="AB87" s="64">
        <f t="shared" si="3"/>
        <v>5.7736720554272519E-3</v>
      </c>
      <c r="AC87" s="64">
        <f t="shared" si="3"/>
        <v>8.3148558758314849E-3</v>
      </c>
      <c r="AG87" s="14" t="s">
        <v>217</v>
      </c>
      <c r="AH87" s="64">
        <f>(AH70-AH69)/AH69</f>
        <v>5.105296745373398E-3</v>
      </c>
      <c r="AI87" s="64">
        <f t="shared" ref="AI87:AS87" si="4">(AI70-AI69)/AI69</f>
        <v>9.9457504520796443E-3</v>
      </c>
      <c r="AJ87" s="64">
        <f t="shared" si="4"/>
        <v>5.3016453382084203E-2</v>
      </c>
      <c r="AK87" s="64">
        <f t="shared" si="4"/>
        <v>6.0459492140266021E-3</v>
      </c>
      <c r="AL87" s="64">
        <f t="shared" si="4"/>
        <v>1.1576626240352779E-2</v>
      </c>
      <c r="AM87" s="64">
        <f t="shared" si="4"/>
        <v>-4.74934036939317E-3</v>
      </c>
      <c r="AN87" s="64">
        <f t="shared" si="4"/>
        <v>-2.2922636103152186E-3</v>
      </c>
      <c r="AO87" s="64">
        <f t="shared" si="4"/>
        <v>4.0846456692913445E-2</v>
      </c>
      <c r="AP87" s="64">
        <f t="shared" si="4"/>
        <v>-3.0469226081657527E-3</v>
      </c>
      <c r="AQ87" s="64">
        <f t="shared" si="4"/>
        <v>1.6501650165016736E-3</v>
      </c>
      <c r="AR87" s="64">
        <f t="shared" si="4"/>
        <v>3.7854889589905003E-3</v>
      </c>
      <c r="AS87" s="64">
        <f t="shared" si="4"/>
        <v>7.5716603569497328E-3</v>
      </c>
    </row>
    <row r="88" spans="2:45" ht="18">
      <c r="B88" s="80" t="s">
        <v>218</v>
      </c>
      <c r="C88" s="64">
        <f t="shared" ref="C88:N98" si="5">(C71-C70)/C70</f>
        <v>9.6774193548387101E-3</v>
      </c>
      <c r="D88" s="64">
        <f t="shared" si="5"/>
        <v>-2.9170464904284436E-2</v>
      </c>
      <c r="E88" s="64">
        <f t="shared" si="5"/>
        <v>2.5761124121779725E-2</v>
      </c>
      <c r="F88" s="64">
        <f t="shared" si="5"/>
        <v>4.8250904704462173E-3</v>
      </c>
      <c r="G88" s="64">
        <f t="shared" si="5"/>
        <v>1.5499732763228252E-2</v>
      </c>
      <c r="H88" s="64">
        <f t="shared" si="5"/>
        <v>-2.5385764061722219E-2</v>
      </c>
      <c r="I88" s="64">
        <f t="shared" si="5"/>
        <v>2.6517383618149679E-2</v>
      </c>
      <c r="J88" s="64">
        <f t="shared" si="5"/>
        <v>-1.0970927043336097E-3</v>
      </c>
      <c r="K88" s="64">
        <f t="shared" si="5"/>
        <v>0</v>
      </c>
      <c r="L88" s="64">
        <f t="shared" si="5"/>
        <v>8.3402835696408937E-4</v>
      </c>
      <c r="M88" s="64">
        <f t="shared" si="5"/>
        <v>2.9779630732578916E-3</v>
      </c>
      <c r="N88" s="64">
        <f t="shared" si="5"/>
        <v>7.0690592713430287E-3</v>
      </c>
      <c r="Q88" s="14" t="s">
        <v>218</v>
      </c>
      <c r="R88" s="64">
        <f t="shared" ref="R88:AC98" si="6">(R71-R70)/R70</f>
        <v>9.102730819245626E-3</v>
      </c>
      <c r="S88" s="64">
        <f t="shared" si="6"/>
        <v>-2.9465930018416103E-2</v>
      </c>
      <c r="T88" s="64">
        <f t="shared" si="6"/>
        <v>2.7712264150943498E-2</v>
      </c>
      <c r="U88" s="64">
        <f t="shared" si="6"/>
        <v>5.4413542926239761E-3</v>
      </c>
      <c r="V88" s="64">
        <f t="shared" si="6"/>
        <v>1.5352038115405005E-2</v>
      </c>
      <c r="W88" s="64">
        <f t="shared" si="6"/>
        <v>-2.8351753964440202E-2</v>
      </c>
      <c r="X88" s="64">
        <f t="shared" si="6"/>
        <v>2.2919179734619918E-2</v>
      </c>
      <c r="Y88" s="64">
        <f t="shared" si="6"/>
        <v>7.770472205618547E-3</v>
      </c>
      <c r="Z88" s="64">
        <f t="shared" si="6"/>
        <v>-1.2150668286755081E-3</v>
      </c>
      <c r="AA88" s="64">
        <f t="shared" si="6"/>
        <v>8.3963056255254855E-4</v>
      </c>
      <c r="AB88" s="64">
        <f t="shared" si="6"/>
        <v>1.7221584385764144E-3</v>
      </c>
      <c r="AC88" s="64">
        <f t="shared" si="6"/>
        <v>6.5970313358987825E-3</v>
      </c>
      <c r="AG88" s="14" t="s">
        <v>218</v>
      </c>
      <c r="AH88" s="64">
        <f t="shared" ref="AH88:AS98" si="7">(AH71-AH70)/AH70</f>
        <v>1.1428571428571501E-2</v>
      </c>
      <c r="AI88" s="64">
        <f t="shared" si="7"/>
        <v>-2.8200537153088682E-2</v>
      </c>
      <c r="AJ88" s="64">
        <f t="shared" si="7"/>
        <v>2.1990740740740641E-2</v>
      </c>
      <c r="AK88" s="64">
        <f t="shared" si="7"/>
        <v>4.2067307692307005E-3</v>
      </c>
      <c r="AL88" s="64">
        <f t="shared" si="7"/>
        <v>1.5258855585831125E-2</v>
      </c>
      <c r="AM88" s="64">
        <f t="shared" si="7"/>
        <v>-2.014846235418867E-2</v>
      </c>
      <c r="AN88" s="64">
        <f t="shared" si="7"/>
        <v>3.1016657093624389E-2</v>
      </c>
      <c r="AO88" s="64">
        <f t="shared" si="7"/>
        <v>-1.4184397163120567E-2</v>
      </c>
      <c r="AP88" s="64">
        <f t="shared" si="7"/>
        <v>2.4449877750611594E-3</v>
      </c>
      <c r="AQ88" s="64">
        <f t="shared" si="7"/>
        <v>8.2372322899501083E-4</v>
      </c>
      <c r="AR88" s="64">
        <f t="shared" si="7"/>
        <v>4.3997485857952051E-3</v>
      </c>
      <c r="AS88" s="64">
        <f t="shared" si="7"/>
        <v>7.514761137949421E-3</v>
      </c>
    </row>
    <row r="89" spans="2:45" ht="18">
      <c r="B89" s="80" t="s">
        <v>219</v>
      </c>
      <c r="C89" s="64">
        <f t="shared" si="5"/>
        <v>2.4281150159744483E-2</v>
      </c>
      <c r="D89" s="64">
        <f t="shared" si="5"/>
        <v>-3.0516431924882629E-2</v>
      </c>
      <c r="E89" s="64">
        <f t="shared" si="5"/>
        <v>-3.4246575342465758E-2</v>
      </c>
      <c r="F89" s="64">
        <f t="shared" si="5"/>
        <v>9.00360144057623E-3</v>
      </c>
      <c r="G89" s="64">
        <f t="shared" si="5"/>
        <v>1.8947368421052602E-2</v>
      </c>
      <c r="H89" s="64">
        <f t="shared" si="5"/>
        <v>-1.7364657814096043E-2</v>
      </c>
      <c r="I89" s="64">
        <f t="shared" si="5"/>
        <v>-7.4626865671640818E-3</v>
      </c>
      <c r="J89" s="64">
        <f t="shared" si="5"/>
        <v>2.5260845689181737E-2</v>
      </c>
      <c r="K89" s="64">
        <f t="shared" si="5"/>
        <v>1.7650639074862917E-2</v>
      </c>
      <c r="L89" s="64">
        <f t="shared" si="5"/>
        <v>7.5000000000000474E-3</v>
      </c>
      <c r="M89" s="64">
        <f t="shared" si="5"/>
        <v>2.3752969121140478E-3</v>
      </c>
      <c r="N89" s="64">
        <f t="shared" si="5"/>
        <v>5.9395248380130824E-3</v>
      </c>
      <c r="Q89" s="14" t="s">
        <v>219</v>
      </c>
      <c r="R89" s="64">
        <f t="shared" si="6"/>
        <v>2.7706185567010384E-2</v>
      </c>
      <c r="S89" s="64">
        <f t="shared" si="6"/>
        <v>-3.1783681214421329E-2</v>
      </c>
      <c r="T89" s="64">
        <f t="shared" si="6"/>
        <v>-3.4423407917383818E-2</v>
      </c>
      <c r="U89" s="64">
        <f t="shared" si="6"/>
        <v>9.6211665664461474E-3</v>
      </c>
      <c r="V89" s="64">
        <f t="shared" si="6"/>
        <v>1.981230448383724E-2</v>
      </c>
      <c r="W89" s="64">
        <f t="shared" si="6"/>
        <v>-2.0276953511374849E-2</v>
      </c>
      <c r="X89" s="64">
        <f t="shared" si="6"/>
        <v>-2.3584905660377696E-3</v>
      </c>
      <c r="Y89" s="64">
        <f t="shared" si="6"/>
        <v>2.6690391459074734E-2</v>
      </c>
      <c r="Z89" s="64">
        <f t="shared" si="6"/>
        <v>1.6423357664233508E-2</v>
      </c>
      <c r="AA89" s="64">
        <f t="shared" si="6"/>
        <v>8.389261744966443E-3</v>
      </c>
      <c r="AB89" s="64">
        <f t="shared" si="6"/>
        <v>1.7191977077364547E-3</v>
      </c>
      <c r="AC89" s="64">
        <f t="shared" si="6"/>
        <v>4.9153468050246079E-3</v>
      </c>
      <c r="AG89" s="14" t="s">
        <v>219</v>
      </c>
      <c r="AH89" s="64">
        <f t="shared" si="7"/>
        <v>1.7576898932831028E-2</v>
      </c>
      <c r="AI89" s="64">
        <f t="shared" si="7"/>
        <v>-2.8558268079226113E-2</v>
      </c>
      <c r="AJ89" s="64">
        <f t="shared" si="7"/>
        <v>-3.3975084937712348E-2</v>
      </c>
      <c r="AK89" s="64">
        <f t="shared" si="7"/>
        <v>7.7797725912627852E-3</v>
      </c>
      <c r="AL89" s="64">
        <f t="shared" si="7"/>
        <v>1.8250134192163054E-2</v>
      </c>
      <c r="AM89" s="64">
        <f t="shared" si="7"/>
        <v>-1.2445887445887507E-2</v>
      </c>
      <c r="AN89" s="64">
        <f t="shared" si="7"/>
        <v>-1.3370473537604488E-2</v>
      </c>
      <c r="AO89" s="64">
        <f t="shared" si="7"/>
        <v>2.206235011990405E-2</v>
      </c>
      <c r="AP89" s="64">
        <f t="shared" si="7"/>
        <v>2.0121951219512265E-2</v>
      </c>
      <c r="AQ89" s="64">
        <f t="shared" si="7"/>
        <v>5.7613168724280073E-3</v>
      </c>
      <c r="AR89" s="64">
        <f t="shared" si="7"/>
        <v>4.3804755944930451E-3</v>
      </c>
      <c r="AS89" s="64">
        <f t="shared" si="7"/>
        <v>6.3931806073522493E-3</v>
      </c>
    </row>
    <row r="90" spans="2:45" ht="18">
      <c r="B90" s="80" t="s">
        <v>220</v>
      </c>
      <c r="C90" s="64">
        <f t="shared" si="5"/>
        <v>1.9962570180910719E-2</v>
      </c>
      <c r="D90" s="64">
        <f t="shared" si="5"/>
        <v>1.3075060532687597E-2</v>
      </c>
      <c r="E90" s="64">
        <f t="shared" si="5"/>
        <v>2.9550827423167852E-3</v>
      </c>
      <c r="F90" s="64">
        <f t="shared" si="5"/>
        <v>9.5181439619273899E-3</v>
      </c>
      <c r="G90" s="64">
        <f t="shared" si="5"/>
        <v>1.9111570247933973E-2</v>
      </c>
      <c r="H90" s="64">
        <f t="shared" si="5"/>
        <v>-1.9230769230769319E-2</v>
      </c>
      <c r="I90" s="64">
        <f t="shared" si="5"/>
        <v>-4.1642567958357531E-2</v>
      </c>
      <c r="J90" s="64">
        <f t="shared" si="5"/>
        <v>2.7316550615961558E-2</v>
      </c>
      <c r="K90" s="64">
        <f t="shared" si="5"/>
        <v>1.1363636363636399E-2</v>
      </c>
      <c r="L90" s="64">
        <f t="shared" si="5"/>
        <v>5.7899090157153728E-3</v>
      </c>
      <c r="M90" s="64">
        <f t="shared" si="5"/>
        <v>3.5545023696682125E-3</v>
      </c>
      <c r="N90" s="64">
        <f t="shared" si="5"/>
        <v>5.9044551798174676E-3</v>
      </c>
      <c r="Q90" s="14" t="s">
        <v>220</v>
      </c>
      <c r="R90" s="64">
        <f t="shared" si="6"/>
        <v>2.1316614420062732E-2</v>
      </c>
      <c r="S90" s="64">
        <f t="shared" si="6"/>
        <v>1.2738853503184686E-2</v>
      </c>
      <c r="T90" s="64">
        <f t="shared" si="6"/>
        <v>4.1592394533570328E-3</v>
      </c>
      <c r="U90" s="64">
        <f t="shared" si="6"/>
        <v>9.5294818344252193E-3</v>
      </c>
      <c r="V90" s="64">
        <f t="shared" si="6"/>
        <v>1.7893660531697341E-2</v>
      </c>
      <c r="W90" s="64">
        <f t="shared" si="6"/>
        <v>-2.0191822311963654E-2</v>
      </c>
      <c r="X90" s="64">
        <f t="shared" si="6"/>
        <v>-3.0141843971631173E-2</v>
      </c>
      <c r="Y90" s="64">
        <f t="shared" si="6"/>
        <v>2.1952628538417167E-2</v>
      </c>
      <c r="Z90" s="64">
        <f t="shared" si="6"/>
        <v>1.1370436864153236E-2</v>
      </c>
      <c r="AA90" s="64">
        <f t="shared" si="6"/>
        <v>4.9916805324458757E-3</v>
      </c>
      <c r="AB90" s="64">
        <f t="shared" si="6"/>
        <v>3.4324942791761686E-3</v>
      </c>
      <c r="AC90" s="64">
        <f t="shared" si="6"/>
        <v>4.3478260869565834E-3</v>
      </c>
      <c r="AG90" s="14" t="s">
        <v>220</v>
      </c>
      <c r="AH90" s="64">
        <f t="shared" si="7"/>
        <v>1.7273288093769348E-2</v>
      </c>
      <c r="AI90" s="64">
        <f t="shared" si="7"/>
        <v>1.3276434329065827E-2</v>
      </c>
      <c r="AJ90" s="64">
        <f t="shared" si="7"/>
        <v>1.7584994138335954E-3</v>
      </c>
      <c r="AK90" s="64">
        <f t="shared" si="7"/>
        <v>1.0095011876484494E-2</v>
      </c>
      <c r="AL90" s="64">
        <f t="shared" si="7"/>
        <v>2.0558777016341623E-2</v>
      </c>
      <c r="AM90" s="64">
        <f t="shared" si="7"/>
        <v>-1.7534246575342402E-2</v>
      </c>
      <c r="AN90" s="64">
        <f t="shared" si="7"/>
        <v>-5.4206662902315045E-2</v>
      </c>
      <c r="AO90" s="64">
        <f t="shared" si="7"/>
        <v>3.6133270764899188E-2</v>
      </c>
      <c r="AP90" s="64">
        <f t="shared" si="7"/>
        <v>1.1356843992827119E-2</v>
      </c>
      <c r="AQ90" s="64">
        <f t="shared" si="7"/>
        <v>7.3649754500817628E-3</v>
      </c>
      <c r="AR90" s="64">
        <f t="shared" si="7"/>
        <v>3.7383177570093104E-3</v>
      </c>
      <c r="AS90" s="64">
        <f t="shared" si="7"/>
        <v>7.9407093700370572E-3</v>
      </c>
    </row>
    <row r="91" spans="2:45" ht="18">
      <c r="B91" s="80" t="s">
        <v>221</v>
      </c>
      <c r="C91" s="64">
        <f t="shared" si="5"/>
        <v>1.0397553516819502E-2</v>
      </c>
      <c r="D91" s="64">
        <f t="shared" si="5"/>
        <v>8.1261950286807706E-3</v>
      </c>
      <c r="E91" s="64">
        <f t="shared" si="5"/>
        <v>7.0713022981733478E-3</v>
      </c>
      <c r="F91" s="64">
        <f t="shared" si="5"/>
        <v>7.0713022981733478E-3</v>
      </c>
      <c r="G91" s="64">
        <f t="shared" si="5"/>
        <v>1.3177901672579798E-2</v>
      </c>
      <c r="H91" s="64">
        <f t="shared" si="5"/>
        <v>-1.1658717541070422E-2</v>
      </c>
      <c r="I91" s="64">
        <f t="shared" si="5"/>
        <v>-1.1466505733252729E-2</v>
      </c>
      <c r="J91" s="64">
        <f t="shared" si="5"/>
        <v>4.118873826903012E-2</v>
      </c>
      <c r="K91" s="64">
        <f t="shared" si="5"/>
        <v>4.1395623891189656E-3</v>
      </c>
      <c r="L91" s="64">
        <f t="shared" si="5"/>
        <v>2.4671052631579883E-3</v>
      </c>
      <c r="M91" s="64">
        <f t="shared" si="5"/>
        <v>2.9515938606847697E-3</v>
      </c>
      <c r="N91" s="64">
        <f t="shared" si="5"/>
        <v>4.8025613660619302E-3</v>
      </c>
      <c r="Q91" s="14" t="s">
        <v>221</v>
      </c>
      <c r="R91" s="64">
        <f t="shared" si="6"/>
        <v>1.1049723756905973E-2</v>
      </c>
      <c r="S91" s="64">
        <f t="shared" si="6"/>
        <v>1.0159651669085742E-2</v>
      </c>
      <c r="T91" s="64">
        <f t="shared" si="6"/>
        <v>7.6923076923077595E-3</v>
      </c>
      <c r="U91" s="64">
        <f t="shared" si="6"/>
        <v>8.2595870206490004E-3</v>
      </c>
      <c r="V91" s="64">
        <f t="shared" si="6"/>
        <v>1.2556504269211451E-2</v>
      </c>
      <c r="W91" s="64">
        <f t="shared" si="6"/>
        <v>-1.2879958784131892E-2</v>
      </c>
      <c r="X91" s="64">
        <f t="shared" si="6"/>
        <v>-1.1578305911029894E-2</v>
      </c>
      <c r="Y91" s="64">
        <f t="shared" si="6"/>
        <v>4.4657998869417778E-2</v>
      </c>
      <c r="Z91" s="64">
        <f t="shared" si="6"/>
        <v>4.1420118343194591E-3</v>
      </c>
      <c r="AA91" s="64">
        <f t="shared" si="6"/>
        <v>2.4834437086092482E-3</v>
      </c>
      <c r="AB91" s="64">
        <f t="shared" si="6"/>
        <v>2.2805017103763149E-3</v>
      </c>
      <c r="AC91" s="64">
        <f t="shared" si="6"/>
        <v>4.3290043290042362E-3</v>
      </c>
      <c r="AG91" s="14" t="s">
        <v>221</v>
      </c>
      <c r="AH91" s="64">
        <f t="shared" si="7"/>
        <v>9.0964220739842318E-3</v>
      </c>
      <c r="AI91" s="64">
        <f t="shared" si="7"/>
        <v>5.6153486195602113E-3</v>
      </c>
      <c r="AJ91" s="64">
        <f t="shared" si="7"/>
        <v>5.8513750731421883E-3</v>
      </c>
      <c r="AK91" s="64">
        <f t="shared" si="7"/>
        <v>5.2910052910053245E-3</v>
      </c>
      <c r="AL91" s="64">
        <f t="shared" si="7"/>
        <v>1.4462809917355431E-2</v>
      </c>
      <c r="AM91" s="64">
        <f t="shared" si="7"/>
        <v>-8.9235917456777607E-3</v>
      </c>
      <c r="AN91" s="64">
        <f t="shared" si="7"/>
        <v>-1.0746268656716487E-2</v>
      </c>
      <c r="AO91" s="64">
        <f t="shared" si="7"/>
        <v>3.532608695652166E-2</v>
      </c>
      <c r="AP91" s="64">
        <f t="shared" si="7"/>
        <v>4.1371158392436002E-3</v>
      </c>
      <c r="AQ91" s="64">
        <f t="shared" si="7"/>
        <v>2.4370430544273874E-3</v>
      </c>
      <c r="AR91" s="64">
        <f t="shared" si="7"/>
        <v>3.1036623215394167E-3</v>
      </c>
      <c r="AS91" s="64">
        <f t="shared" si="7"/>
        <v>5.7773109243697178E-3</v>
      </c>
    </row>
    <row r="92" spans="2:45" ht="18">
      <c r="B92" s="80" t="s">
        <v>222</v>
      </c>
      <c r="C92" s="64">
        <f t="shared" si="5"/>
        <v>1.3317191283293082E-2</v>
      </c>
      <c r="D92" s="64">
        <f t="shared" si="5"/>
        <v>-7.1123755334281651E-3</v>
      </c>
      <c r="E92" s="64">
        <f t="shared" si="5"/>
        <v>6.1439438267992974E-2</v>
      </c>
      <c r="F92" s="64">
        <f t="shared" si="5"/>
        <v>8.1919251023990971E-3</v>
      </c>
      <c r="G92" s="64">
        <f t="shared" si="5"/>
        <v>1.4507253626813434E-2</v>
      </c>
      <c r="H92" s="64">
        <f t="shared" si="5"/>
        <v>1.286863270777483E-2</v>
      </c>
      <c r="I92" s="64">
        <f t="shared" si="5"/>
        <v>-1.8925518925519063E-2</v>
      </c>
      <c r="J92" s="64">
        <f t="shared" si="5"/>
        <v>-8.3124687030545791E-2</v>
      </c>
      <c r="K92" s="64">
        <f t="shared" si="5"/>
        <v>4.1224970553591792E-3</v>
      </c>
      <c r="L92" s="64">
        <f t="shared" si="5"/>
        <v>1.640689089417462E-3</v>
      </c>
      <c r="M92" s="64">
        <f t="shared" si="5"/>
        <v>2.942907592701589E-3</v>
      </c>
      <c r="N92" s="64">
        <f t="shared" si="5"/>
        <v>6.3728093467869812E-3</v>
      </c>
      <c r="Q92" s="14" t="s">
        <v>222</v>
      </c>
      <c r="R92" s="64">
        <f t="shared" si="6"/>
        <v>1.3357619914997069E-2</v>
      </c>
      <c r="S92" s="64">
        <f t="shared" si="6"/>
        <v>-7.6628352490422545E-3</v>
      </c>
      <c r="T92" s="64">
        <f t="shared" si="6"/>
        <v>5.8132706987668682E-2</v>
      </c>
      <c r="U92" s="64">
        <f t="shared" si="6"/>
        <v>8.1919251023990971E-3</v>
      </c>
      <c r="V92" s="64">
        <f t="shared" si="6"/>
        <v>1.5873015873015959E-2</v>
      </c>
      <c r="W92" s="64">
        <f t="shared" si="6"/>
        <v>1.2526096033402953E-2</v>
      </c>
      <c r="X92" s="64">
        <f t="shared" si="6"/>
        <v>-1.9112207151664579E-2</v>
      </c>
      <c r="Y92" s="64">
        <f t="shared" si="6"/>
        <v>-7.1428571428571522E-2</v>
      </c>
      <c r="Z92" s="64">
        <f t="shared" si="6"/>
        <v>2.9463759575721863E-3</v>
      </c>
      <c r="AA92" s="64">
        <f t="shared" si="6"/>
        <v>3.3030553261767606E-3</v>
      </c>
      <c r="AB92" s="64">
        <f t="shared" si="6"/>
        <v>3.412969283276418E-3</v>
      </c>
      <c r="AC92" s="64">
        <f t="shared" si="6"/>
        <v>7.0043103448276479E-3</v>
      </c>
      <c r="AG92" s="14" t="s">
        <v>222</v>
      </c>
      <c r="AH92" s="64">
        <f t="shared" si="7"/>
        <v>1.2019230769230768E-2</v>
      </c>
      <c r="AI92" s="64">
        <f t="shared" si="7"/>
        <v>-6.9799906933457421E-3</v>
      </c>
      <c r="AJ92" s="64">
        <f t="shared" si="7"/>
        <v>6.5735892961023751E-2</v>
      </c>
      <c r="AK92" s="64">
        <f t="shared" si="7"/>
        <v>7.6023391812866164E-3</v>
      </c>
      <c r="AL92" s="64">
        <f t="shared" si="7"/>
        <v>1.2219959266802473E-2</v>
      </c>
      <c r="AM92" s="64">
        <f t="shared" si="7"/>
        <v>1.2943162633652288E-2</v>
      </c>
      <c r="AN92" s="64">
        <f t="shared" si="7"/>
        <v>-1.8708509354254645E-2</v>
      </c>
      <c r="AO92" s="64">
        <f t="shared" si="7"/>
        <v>-0.10104986876640418</v>
      </c>
      <c r="AP92" s="64">
        <f t="shared" si="7"/>
        <v>6.4743967039434629E-3</v>
      </c>
      <c r="AQ92" s="64">
        <f t="shared" si="7"/>
        <v>0</v>
      </c>
      <c r="AR92" s="64">
        <f t="shared" si="7"/>
        <v>3.0940594059405942E-3</v>
      </c>
      <c r="AS92" s="64">
        <f t="shared" si="7"/>
        <v>4.6997389033942858E-3</v>
      </c>
    </row>
    <row r="93" spans="2:45" ht="18">
      <c r="B93" s="80" t="s">
        <v>223</v>
      </c>
      <c r="C93" s="64">
        <f t="shared" si="5"/>
        <v>1.0752688172042909E-2</v>
      </c>
      <c r="D93" s="64">
        <f t="shared" si="5"/>
        <v>-1.9102196752626823E-3</v>
      </c>
      <c r="E93" s="64">
        <f t="shared" si="5"/>
        <v>4.8511576626240255E-2</v>
      </c>
      <c r="F93" s="64">
        <f t="shared" si="5"/>
        <v>7.5449796865930518E-3</v>
      </c>
      <c r="G93" s="64">
        <f t="shared" si="5"/>
        <v>1.1834319526627106E-2</v>
      </c>
      <c r="H93" s="64">
        <f t="shared" si="5"/>
        <v>-2.1175224986765785E-3</v>
      </c>
      <c r="I93" s="64">
        <f t="shared" si="5"/>
        <v>-1.6801493466085806E-2</v>
      </c>
      <c r="J93" s="64">
        <f t="shared" si="5"/>
        <v>-0.12670671764063349</v>
      </c>
      <c r="K93" s="64">
        <f t="shared" si="5"/>
        <v>1.7595307917889231E-3</v>
      </c>
      <c r="L93" s="64">
        <f t="shared" si="5"/>
        <v>-2.457002457002434E-3</v>
      </c>
      <c r="M93" s="64">
        <f t="shared" si="5"/>
        <v>3.521126760563347E-3</v>
      </c>
      <c r="N93" s="64">
        <f t="shared" si="5"/>
        <v>4.2216358839050729E-3</v>
      </c>
      <c r="Q93" s="14" t="s">
        <v>223</v>
      </c>
      <c r="R93" s="64">
        <f t="shared" si="6"/>
        <v>1.1384062312762167E-2</v>
      </c>
      <c r="S93" s="64">
        <f t="shared" si="6"/>
        <v>-1.4478764478763656E-3</v>
      </c>
      <c r="T93" s="64">
        <f t="shared" si="6"/>
        <v>4.9389567147613798E-2</v>
      </c>
      <c r="U93" s="64">
        <f t="shared" si="6"/>
        <v>6.3842135809634021E-3</v>
      </c>
      <c r="V93" s="64">
        <f t="shared" si="6"/>
        <v>1.3183593749999944E-2</v>
      </c>
      <c r="W93" s="64">
        <f t="shared" si="6"/>
        <v>-5.1546391752574393E-4</v>
      </c>
      <c r="X93" s="64">
        <f t="shared" si="6"/>
        <v>-1.5084852294154657E-2</v>
      </c>
      <c r="Y93" s="64">
        <f t="shared" si="6"/>
        <v>-0.12470862470862475</v>
      </c>
      <c r="Z93" s="64">
        <f t="shared" si="6"/>
        <v>1.7626321974148729E-3</v>
      </c>
      <c r="AA93" s="64">
        <f t="shared" si="6"/>
        <v>-2.4691358024691123E-3</v>
      </c>
      <c r="AB93" s="64">
        <f t="shared" si="6"/>
        <v>2.2675736961451569E-3</v>
      </c>
      <c r="AC93" s="64">
        <f t="shared" si="6"/>
        <v>4.2803638309255373E-3</v>
      </c>
      <c r="AG93" s="14" t="s">
        <v>223</v>
      </c>
      <c r="AH93" s="64">
        <f t="shared" si="7"/>
        <v>1.0688836104512963E-2</v>
      </c>
      <c r="AI93" s="64">
        <f t="shared" si="7"/>
        <v>-2.3430178069353325E-3</v>
      </c>
      <c r="AJ93" s="64">
        <f t="shared" si="7"/>
        <v>4.7489082969432411E-2</v>
      </c>
      <c r="AK93" s="64">
        <f t="shared" si="7"/>
        <v>9.286128845037692E-3</v>
      </c>
      <c r="AL93" s="64">
        <f t="shared" si="7"/>
        <v>8.5513078470824365E-3</v>
      </c>
      <c r="AM93" s="64">
        <f t="shared" si="7"/>
        <v>-5.0000000000000313E-3</v>
      </c>
      <c r="AN93" s="64">
        <f t="shared" si="7"/>
        <v>-1.9065190651906486E-2</v>
      </c>
      <c r="AO93" s="64">
        <f t="shared" si="7"/>
        <v>-0.1304136253041363</v>
      </c>
      <c r="AP93" s="64">
        <f t="shared" si="7"/>
        <v>1.7543859649123471E-3</v>
      </c>
      <c r="AQ93" s="64">
        <f t="shared" si="7"/>
        <v>-2.4311183144247275E-3</v>
      </c>
      <c r="AR93" s="64">
        <f t="shared" si="7"/>
        <v>4.3183220234424245E-3</v>
      </c>
      <c r="AS93" s="64">
        <f t="shared" si="7"/>
        <v>4.6777546777547075E-3</v>
      </c>
    </row>
    <row r="94" spans="2:45" ht="18">
      <c r="B94" s="80" t="s">
        <v>224</v>
      </c>
      <c r="C94" s="64">
        <f t="shared" si="5"/>
        <v>2.7186761229314557E-2</v>
      </c>
      <c r="D94" s="64">
        <f t="shared" si="5"/>
        <v>8.1339712918659744E-3</v>
      </c>
      <c r="E94" s="64">
        <f t="shared" si="5"/>
        <v>2.2607781282860208E-2</v>
      </c>
      <c r="F94" s="64">
        <f t="shared" si="5"/>
        <v>5.7603686635944703E-3</v>
      </c>
      <c r="G94" s="64">
        <f t="shared" si="5"/>
        <v>1.5594541910331468E-2</v>
      </c>
      <c r="H94" s="64">
        <f t="shared" si="5"/>
        <v>-6.8965517241379917E-3</v>
      </c>
      <c r="I94" s="64">
        <f t="shared" si="5"/>
        <v>1.8987341772152618E-3</v>
      </c>
      <c r="J94" s="64">
        <f t="shared" si="5"/>
        <v>-3.7523452157598496E-2</v>
      </c>
      <c r="K94" s="64">
        <f t="shared" si="5"/>
        <v>5.854800936767817E-4</v>
      </c>
      <c r="L94" s="64">
        <f t="shared" si="5"/>
        <v>-5.7471264367816325E-3</v>
      </c>
      <c r="M94" s="64">
        <f t="shared" si="5"/>
        <v>2.339181286549741E-3</v>
      </c>
      <c r="N94" s="64">
        <f t="shared" si="5"/>
        <v>4.7293746715710832E-3</v>
      </c>
      <c r="Q94" s="14" t="s">
        <v>224</v>
      </c>
      <c r="R94" s="64">
        <f t="shared" si="6"/>
        <v>3.0805687203791399E-2</v>
      </c>
      <c r="S94" s="64">
        <f t="shared" si="6"/>
        <v>6.7665538907685143E-3</v>
      </c>
      <c r="T94" s="64">
        <f t="shared" si="6"/>
        <v>2.009518773135913E-2</v>
      </c>
      <c r="U94" s="64">
        <f t="shared" si="6"/>
        <v>5.1903114186851538E-3</v>
      </c>
      <c r="V94" s="64">
        <f t="shared" si="6"/>
        <v>1.4457831325301205E-2</v>
      </c>
      <c r="W94" s="64">
        <f t="shared" si="6"/>
        <v>-6.7044868488912394E-3</v>
      </c>
      <c r="X94" s="64">
        <f t="shared" si="6"/>
        <v>-2.5526483726865173E-3</v>
      </c>
      <c r="Y94" s="64">
        <f t="shared" si="6"/>
        <v>-4.8601864181091768E-2</v>
      </c>
      <c r="Z94" s="64">
        <f t="shared" si="6"/>
        <v>1.173020527859171E-3</v>
      </c>
      <c r="AA94" s="64">
        <f t="shared" si="6"/>
        <v>-7.4257425742574722E-3</v>
      </c>
      <c r="AB94" s="64">
        <f t="shared" si="6"/>
        <v>5.6561085972847464E-4</v>
      </c>
      <c r="AC94" s="64">
        <f t="shared" si="6"/>
        <v>4.2621204049014989E-3</v>
      </c>
      <c r="AG94" s="14" t="s">
        <v>224</v>
      </c>
      <c r="AH94" s="64">
        <f t="shared" si="7"/>
        <v>1.821386603995313E-2</v>
      </c>
      <c r="AI94" s="64">
        <f t="shared" si="7"/>
        <v>1.0803193987787613E-2</v>
      </c>
      <c r="AJ94" s="64">
        <f t="shared" si="7"/>
        <v>2.6576341844710756E-2</v>
      </c>
      <c r="AK94" s="64">
        <f t="shared" si="7"/>
        <v>7.4755606670499301E-3</v>
      </c>
      <c r="AL94" s="64">
        <f t="shared" si="7"/>
        <v>1.8952618453865394E-2</v>
      </c>
      <c r="AM94" s="64">
        <f t="shared" si="7"/>
        <v>-6.1418202121719398E-3</v>
      </c>
      <c r="AN94" s="64">
        <f t="shared" si="7"/>
        <v>6.269592476489028E-3</v>
      </c>
      <c r="AO94" s="64">
        <f t="shared" si="7"/>
        <v>-1.9026301063234344E-2</v>
      </c>
      <c r="AP94" s="64">
        <f t="shared" si="7"/>
        <v>-5.837711617047445E-4</v>
      </c>
      <c r="AQ94" s="64">
        <f t="shared" si="7"/>
        <v>-3.2493907392363241E-3</v>
      </c>
      <c r="AR94" s="64">
        <f t="shared" si="7"/>
        <v>5.5282555282553884E-3</v>
      </c>
      <c r="AS94" s="64">
        <f t="shared" si="7"/>
        <v>5.1733057423693739E-3</v>
      </c>
    </row>
    <row r="95" spans="2:45" ht="18">
      <c r="B95" s="80" t="s">
        <v>225</v>
      </c>
      <c r="C95" s="64">
        <f t="shared" si="5"/>
        <v>3.4522439585730398E-3</v>
      </c>
      <c r="D95" s="64">
        <f t="shared" si="5"/>
        <v>-1.423825344091125E-2</v>
      </c>
      <c r="E95" s="64">
        <f t="shared" si="5"/>
        <v>-9.9228791773778982E-2</v>
      </c>
      <c r="F95" s="64">
        <f t="shared" si="5"/>
        <v>1.5463917525773294E-2</v>
      </c>
      <c r="G95" s="64">
        <f t="shared" si="5"/>
        <v>6.2380038387715112E-3</v>
      </c>
      <c r="H95" s="64">
        <f t="shared" si="5"/>
        <v>-4.2200854700854579E-2</v>
      </c>
      <c r="I95" s="64">
        <f t="shared" si="5"/>
        <v>7.0751737207833149E-2</v>
      </c>
      <c r="J95" s="64">
        <f t="shared" si="5"/>
        <v>-7.7972709551658026E-3</v>
      </c>
      <c r="K95" s="64">
        <f t="shared" si="5"/>
        <v>5.8513750731418557E-4</v>
      </c>
      <c r="L95" s="64">
        <f t="shared" si="5"/>
        <v>-9.0834021469859156E-3</v>
      </c>
      <c r="M95" s="64">
        <f t="shared" si="5"/>
        <v>5.2508751458576761E-3</v>
      </c>
      <c r="N95" s="64">
        <f t="shared" si="5"/>
        <v>9.4142259414226534E-3</v>
      </c>
      <c r="Q95" s="14" t="s">
        <v>225</v>
      </c>
      <c r="R95" s="64">
        <f t="shared" si="6"/>
        <v>1.1494252873562566E-3</v>
      </c>
      <c r="S95" s="64">
        <f t="shared" si="6"/>
        <v>-1.4882381180989066E-2</v>
      </c>
      <c r="T95" s="64">
        <f t="shared" si="6"/>
        <v>-9.8496630378434424E-2</v>
      </c>
      <c r="U95" s="64">
        <f t="shared" si="6"/>
        <v>1.5490533562822654E-2</v>
      </c>
      <c r="V95" s="64">
        <f t="shared" si="6"/>
        <v>7.6009501187648187E-3</v>
      </c>
      <c r="W95" s="64">
        <f t="shared" si="6"/>
        <v>-4.7767393561786026E-2</v>
      </c>
      <c r="X95" s="64">
        <f t="shared" si="6"/>
        <v>6.973768394113869E-2</v>
      </c>
      <c r="Y95" s="64">
        <f t="shared" si="6"/>
        <v>-1.3995801259622112E-2</v>
      </c>
      <c r="Z95" s="64">
        <f t="shared" si="6"/>
        <v>-1.7574692442881251E-3</v>
      </c>
      <c r="AA95" s="64">
        <f t="shared" si="6"/>
        <v>-9.9750623441396749E-3</v>
      </c>
      <c r="AB95" s="64">
        <f t="shared" si="6"/>
        <v>3.9570378745053059E-3</v>
      </c>
      <c r="AC95" s="64">
        <f t="shared" si="6"/>
        <v>7.4270557029178022E-3</v>
      </c>
      <c r="AG95" s="14" t="s">
        <v>225</v>
      </c>
      <c r="AH95" s="64">
        <f t="shared" si="7"/>
        <v>8.078476630121045E-3</v>
      </c>
      <c r="AI95" s="64">
        <f t="shared" si="7"/>
        <v>-1.3940520446096656E-2</v>
      </c>
      <c r="AJ95" s="64">
        <f t="shared" si="7"/>
        <v>-0.10050761421319802</v>
      </c>
      <c r="AK95" s="64">
        <f t="shared" si="7"/>
        <v>1.5410958904109687E-2</v>
      </c>
      <c r="AL95" s="64">
        <f t="shared" si="7"/>
        <v>2.4473813020068525E-3</v>
      </c>
      <c r="AM95" s="64">
        <f t="shared" si="7"/>
        <v>-3.2584269662921411E-2</v>
      </c>
      <c r="AN95" s="64">
        <f t="shared" si="7"/>
        <v>7.2274143302180655E-2</v>
      </c>
      <c r="AO95" s="64">
        <f t="shared" si="7"/>
        <v>2.8522532800912721E-3</v>
      </c>
      <c r="AP95" s="64">
        <f t="shared" si="7"/>
        <v>5.8411214953271035E-3</v>
      </c>
      <c r="AQ95" s="64">
        <f t="shared" si="7"/>
        <v>-6.5199674001629754E-3</v>
      </c>
      <c r="AR95" s="64">
        <f t="shared" si="7"/>
        <v>7.3304825901039528E-3</v>
      </c>
      <c r="AS95" s="64">
        <f t="shared" si="7"/>
        <v>1.1837364899639644E-2</v>
      </c>
    </row>
    <row r="96" spans="2:45" ht="18">
      <c r="B96" s="80" t="s">
        <v>226</v>
      </c>
      <c r="C96" s="64">
        <f t="shared" si="5"/>
        <v>0</v>
      </c>
      <c r="D96" s="64">
        <f t="shared" si="5"/>
        <v>0</v>
      </c>
      <c r="E96" s="64">
        <f t="shared" si="5"/>
        <v>0</v>
      </c>
      <c r="F96" s="64">
        <f t="shared" si="5"/>
        <v>0</v>
      </c>
      <c r="G96" s="64">
        <f t="shared" si="5"/>
        <v>0</v>
      </c>
      <c r="H96" s="64">
        <f t="shared" si="5"/>
        <v>-5.5772448410497898E-4</v>
      </c>
      <c r="I96" s="64">
        <f t="shared" si="5"/>
        <v>0</v>
      </c>
      <c r="J96" s="64">
        <f t="shared" si="5"/>
        <v>6.5487884741337755E-4</v>
      </c>
      <c r="K96" s="64">
        <f t="shared" si="5"/>
        <v>5.8479532163739363E-4</v>
      </c>
      <c r="L96" s="64">
        <f t="shared" si="5"/>
        <v>0</v>
      </c>
      <c r="M96" s="64">
        <f t="shared" si="5"/>
        <v>0</v>
      </c>
      <c r="N96" s="64">
        <f t="shared" si="5"/>
        <v>0</v>
      </c>
      <c r="Q96" s="14" t="s">
        <v>226</v>
      </c>
      <c r="R96" s="64">
        <f t="shared" si="6"/>
        <v>5.7405281285891356E-4</v>
      </c>
      <c r="S96" s="64">
        <f t="shared" si="6"/>
        <v>0</v>
      </c>
      <c r="T96" s="64">
        <f t="shared" si="6"/>
        <v>0</v>
      </c>
      <c r="U96" s="64">
        <f t="shared" si="6"/>
        <v>0</v>
      </c>
      <c r="V96" s="64">
        <f t="shared" si="6"/>
        <v>0</v>
      </c>
      <c r="W96" s="64">
        <f t="shared" si="6"/>
        <v>-5.4525627044707916E-4</v>
      </c>
      <c r="X96" s="64">
        <f t="shared" si="6"/>
        <v>0</v>
      </c>
      <c r="Y96" s="64">
        <f t="shared" si="6"/>
        <v>0</v>
      </c>
      <c r="Z96" s="64">
        <f t="shared" si="6"/>
        <v>5.8685446009386333E-4</v>
      </c>
      <c r="AA96" s="64">
        <f t="shared" si="6"/>
        <v>0</v>
      </c>
      <c r="AB96" s="64">
        <f t="shared" si="6"/>
        <v>0</v>
      </c>
      <c r="AC96" s="64">
        <f t="shared" si="6"/>
        <v>0</v>
      </c>
      <c r="AG96" s="14" t="s">
        <v>226</v>
      </c>
      <c r="AH96" s="64">
        <f t="shared" si="7"/>
        <v>0</v>
      </c>
      <c r="AI96" s="64">
        <f t="shared" si="7"/>
        <v>0</v>
      </c>
      <c r="AJ96" s="64">
        <f t="shared" si="7"/>
        <v>0</v>
      </c>
      <c r="AK96" s="64">
        <f t="shared" si="7"/>
        <v>0</v>
      </c>
      <c r="AL96" s="64">
        <f t="shared" si="7"/>
        <v>0</v>
      </c>
      <c r="AM96" s="64">
        <f t="shared" si="7"/>
        <v>0</v>
      </c>
      <c r="AN96" s="64">
        <f t="shared" si="7"/>
        <v>0</v>
      </c>
      <c r="AO96" s="64">
        <f t="shared" si="7"/>
        <v>5.6882821387937608E-4</v>
      </c>
      <c r="AP96" s="64">
        <f t="shared" si="7"/>
        <v>0</v>
      </c>
      <c r="AQ96" s="64">
        <f t="shared" si="7"/>
        <v>0</v>
      </c>
      <c r="AR96" s="64">
        <f t="shared" si="7"/>
        <v>0</v>
      </c>
      <c r="AS96" s="64">
        <f t="shared" si="7"/>
        <v>0</v>
      </c>
    </row>
    <row r="97" spans="2:45" ht="18">
      <c r="B97" s="80" t="s">
        <v>227</v>
      </c>
      <c r="C97" s="64">
        <f t="shared" si="5"/>
        <v>-3.4403669724770315E-3</v>
      </c>
      <c r="D97" s="64">
        <f t="shared" si="5"/>
        <v>7.7034183919115207E-3</v>
      </c>
      <c r="E97" s="64">
        <f t="shared" si="5"/>
        <v>-3.1963470319634674E-2</v>
      </c>
      <c r="F97" s="64">
        <f t="shared" si="5"/>
        <v>6.2041737168640398E-3</v>
      </c>
      <c r="G97" s="64">
        <f t="shared" si="5"/>
        <v>1.5259895088221351E-2</v>
      </c>
      <c r="H97" s="64">
        <f t="shared" si="5"/>
        <v>-2.3995535714285622E-2</v>
      </c>
      <c r="I97" s="64">
        <f t="shared" si="5"/>
        <v>4.0117994100295054E-2</v>
      </c>
      <c r="J97" s="64">
        <f t="shared" si="5"/>
        <v>1.7015706806282685E-2</v>
      </c>
      <c r="K97" s="64">
        <f t="shared" si="5"/>
        <v>1.3442431326709593E-2</v>
      </c>
      <c r="L97" s="64">
        <f t="shared" si="5"/>
        <v>1.0833333333333309E-2</v>
      </c>
      <c r="M97" s="64">
        <f t="shared" si="5"/>
        <v>3.4822983168891135E-3</v>
      </c>
      <c r="N97" s="64">
        <f t="shared" si="5"/>
        <v>2.5906735751295338E-3</v>
      </c>
      <c r="Q97" s="14" t="s">
        <v>227</v>
      </c>
      <c r="R97" s="64">
        <f t="shared" si="6"/>
        <v>-5.737234652897303E-3</v>
      </c>
      <c r="S97" s="64">
        <f t="shared" si="6"/>
        <v>8.2846003898636306E-3</v>
      </c>
      <c r="T97" s="64">
        <f t="shared" si="6"/>
        <v>-3.4502587694077054E-2</v>
      </c>
      <c r="U97" s="64">
        <f t="shared" si="6"/>
        <v>6.7796610169490882E-3</v>
      </c>
      <c r="V97" s="64">
        <f t="shared" si="6"/>
        <v>1.6030174446016059E-2</v>
      </c>
      <c r="W97" s="64">
        <f t="shared" si="6"/>
        <v>-2.61865793780688E-2</v>
      </c>
      <c r="X97" s="64">
        <f t="shared" si="6"/>
        <v>3.8875598086124404E-2</v>
      </c>
      <c r="Y97" s="64">
        <f t="shared" si="6"/>
        <v>1.3484740951029138E-2</v>
      </c>
      <c r="Z97" s="64">
        <f t="shared" si="6"/>
        <v>1.3489736070381298E-2</v>
      </c>
      <c r="AA97" s="64">
        <f t="shared" si="6"/>
        <v>1.0915197313182296E-2</v>
      </c>
      <c r="AB97" s="64">
        <f t="shared" si="6"/>
        <v>3.3783783783783465E-3</v>
      </c>
      <c r="AC97" s="64">
        <f t="shared" si="6"/>
        <v>3.1595576619273002E-3</v>
      </c>
      <c r="AG97" s="14" t="s">
        <v>227</v>
      </c>
      <c r="AH97" s="64">
        <f t="shared" si="7"/>
        <v>5.7240984544947189E-4</v>
      </c>
      <c r="AI97" s="64">
        <f t="shared" si="7"/>
        <v>7.068803016022621E-3</v>
      </c>
      <c r="AJ97" s="64">
        <f t="shared" si="7"/>
        <v>-2.7088036117381396E-2</v>
      </c>
      <c r="AK97" s="64">
        <f t="shared" si="7"/>
        <v>5.0590219224283623E-3</v>
      </c>
      <c r="AL97" s="64">
        <f t="shared" si="7"/>
        <v>1.46484375E-2</v>
      </c>
      <c r="AM97" s="64">
        <f t="shared" si="7"/>
        <v>-2.0325203252032523E-2</v>
      </c>
      <c r="AN97" s="64">
        <f t="shared" si="7"/>
        <v>4.1255084253341047E-2</v>
      </c>
      <c r="AO97" s="64">
        <f t="shared" si="7"/>
        <v>2.2740193291642979E-2</v>
      </c>
      <c r="AP97" s="64">
        <f t="shared" si="7"/>
        <v>1.4518002322880372E-2</v>
      </c>
      <c r="AQ97" s="64">
        <f t="shared" si="7"/>
        <v>9.8441345365052387E-3</v>
      </c>
      <c r="AR97" s="64">
        <f t="shared" si="7"/>
        <v>3.6385688295936585E-3</v>
      </c>
      <c r="AS97" s="64">
        <f t="shared" si="7"/>
        <v>2.034587995930853E-3</v>
      </c>
    </row>
    <row r="98" spans="2:45" ht="18">
      <c r="B98" s="80" t="s">
        <v>228</v>
      </c>
      <c r="C98" s="64">
        <f t="shared" si="5"/>
        <v>-5.7537399309564284E-4</v>
      </c>
      <c r="D98" s="64">
        <f t="shared" si="5"/>
        <v>2.3889154323936932E-2</v>
      </c>
      <c r="E98" s="64">
        <f t="shared" si="5"/>
        <v>2.122641509433959E-2</v>
      </c>
      <c r="F98" s="64">
        <f t="shared" si="5"/>
        <v>6.1659192825111791E-3</v>
      </c>
      <c r="G98" s="64">
        <f t="shared" si="5"/>
        <v>2.3954908407703118E-2</v>
      </c>
      <c r="H98" s="64">
        <f t="shared" si="5"/>
        <v>-2.801600914808465E-2</v>
      </c>
      <c r="I98" s="64">
        <f t="shared" si="5"/>
        <v>-2.32558139534885E-2</v>
      </c>
      <c r="J98" s="64">
        <f t="shared" si="5"/>
        <v>3.6036036036036001E-2</v>
      </c>
      <c r="K98" s="64">
        <f t="shared" si="5"/>
        <v>1.2687427912341341E-2</v>
      </c>
      <c r="L98" s="64">
        <f t="shared" si="5"/>
        <v>1.1541632316570533E-2</v>
      </c>
      <c r="M98" s="64">
        <f t="shared" si="5"/>
        <v>2.8918449971081549E-3</v>
      </c>
      <c r="N98" s="64">
        <f t="shared" si="5"/>
        <v>3.6175710594314658E-3</v>
      </c>
      <c r="Q98" s="14" t="s">
        <v>228</v>
      </c>
      <c r="R98" s="64">
        <f t="shared" si="6"/>
        <v>-5.7703404500878666E-4</v>
      </c>
      <c r="S98" s="64">
        <f t="shared" si="6"/>
        <v>2.2232962783953574E-2</v>
      </c>
      <c r="T98" s="64">
        <f t="shared" si="6"/>
        <v>1.8463371054198895E-2</v>
      </c>
      <c r="U98" s="64">
        <f t="shared" si="6"/>
        <v>7.8563411896745549E-3</v>
      </c>
      <c r="V98" s="64">
        <f t="shared" si="6"/>
        <v>2.5522041763341066E-2</v>
      </c>
      <c r="W98" s="64">
        <f t="shared" si="6"/>
        <v>-2.913165266106436E-2</v>
      </c>
      <c r="X98" s="64">
        <f t="shared" si="6"/>
        <v>-2.7058146229130622E-2</v>
      </c>
      <c r="Y98" s="64">
        <f t="shared" si="6"/>
        <v>4.1316526610644097E-2</v>
      </c>
      <c r="Z98" s="64">
        <f t="shared" si="6"/>
        <v>1.2152777777777743E-2</v>
      </c>
      <c r="AA98" s="64">
        <f t="shared" si="6"/>
        <v>1.2458471760797342E-2</v>
      </c>
      <c r="AB98" s="64">
        <f t="shared" si="6"/>
        <v>2.8058361391694727E-3</v>
      </c>
      <c r="AC98" s="64">
        <f t="shared" si="6"/>
        <v>3.1496062992125685E-3</v>
      </c>
      <c r="AG98" s="14" t="s">
        <v>228</v>
      </c>
      <c r="AH98" s="64">
        <f t="shared" si="7"/>
        <v>-5.7208237986283023E-4</v>
      </c>
      <c r="AI98" s="64">
        <f t="shared" si="7"/>
        <v>2.6672905942910705E-2</v>
      </c>
      <c r="AJ98" s="64">
        <f t="shared" si="7"/>
        <v>2.4941995359628672E-2</v>
      </c>
      <c r="AK98" s="64">
        <f t="shared" si="7"/>
        <v>3.355704697986545E-3</v>
      </c>
      <c r="AL98" s="64">
        <f t="shared" si="7"/>
        <v>1.9730510105871003E-2</v>
      </c>
      <c r="AM98" s="64">
        <f t="shared" si="7"/>
        <v>-2.5489033787788874E-2</v>
      </c>
      <c r="AN98" s="64">
        <f t="shared" si="7"/>
        <v>-1.8973214285714159E-2</v>
      </c>
      <c r="AO98" s="64">
        <f t="shared" si="7"/>
        <v>2.8349082823790964E-2</v>
      </c>
      <c r="AP98" s="64">
        <f t="shared" si="7"/>
        <v>1.2593016599885617E-2</v>
      </c>
      <c r="AQ98" s="64">
        <f t="shared" si="7"/>
        <v>8.9358245329001513E-3</v>
      </c>
      <c r="AR98" s="64">
        <f t="shared" si="7"/>
        <v>2.4169184290030554E-3</v>
      </c>
      <c r="AS98" s="64">
        <f t="shared" si="7"/>
        <v>3.5532994923857292E-3</v>
      </c>
    </row>
    <row r="99" spans="2:45" ht="18.600000000000001" thickBot="1">
      <c r="B99" s="80" t="s">
        <v>229</v>
      </c>
      <c r="C99" s="64">
        <f>SUM(C87:C98)</f>
        <v>0.12085220029035372</v>
      </c>
      <c r="D99" s="64">
        <f t="shared" ref="D99:N99" si="8">SUM(D87:D98)</f>
        <v>-1.0960038075584964E-2</v>
      </c>
      <c r="E99" s="64">
        <f t="shared" si="8"/>
        <v>7.5858020928857975E-2</v>
      </c>
      <c r="F99" s="64">
        <f t="shared" si="8"/>
        <v>8.5207275393248891E-2</v>
      </c>
      <c r="G99" s="64">
        <f t="shared" si="8"/>
        <v>0.16602381892132637</v>
      </c>
      <c r="H99" s="64">
        <f t="shared" si="8"/>
        <v>-0.17196654140370343</v>
      </c>
      <c r="I99" s="64">
        <f t="shared" si="8"/>
        <v>1.212892331833881E-2</v>
      </c>
      <c r="J99" s="64">
        <f t="shared" si="8"/>
        <v>-6.6466572857876549E-2</v>
      </c>
      <c r="K99" s="64">
        <f t="shared" si="8"/>
        <v>6.4492479670082731E-2</v>
      </c>
      <c r="L99" s="64">
        <f t="shared" si="8"/>
        <v>2.4990010110495772E-2</v>
      </c>
      <c r="M99" s="64">
        <f t="shared" si="8"/>
        <v>3.7075142679248593E-2</v>
      </c>
      <c r="N99" s="64">
        <f t="shared" si="8"/>
        <v>6.2333124010194668E-2</v>
      </c>
      <c r="Q99" s="14" t="s">
        <v>229</v>
      </c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G99" s="14" t="s">
        <v>229</v>
      </c>
    </row>
    <row r="100" spans="2:45" ht="18.600000000000001" thickBot="1">
      <c r="Q100" s="80" t="s">
        <v>246</v>
      </c>
      <c r="R100" s="85">
        <f>SUM(R87:R98)</f>
        <v>0.12601803352788893</v>
      </c>
      <c r="S100" s="85">
        <f t="shared" ref="S100:AC100" si="9">SUM(S87:S98)</f>
        <v>-1.3415927239515419E-2</v>
      </c>
      <c r="T100" s="85">
        <f t="shared" si="9"/>
        <v>6.9027470519994569E-2</v>
      </c>
      <c r="U100" s="85">
        <f t="shared" si="9"/>
        <v>8.7604842900340665E-2</v>
      </c>
      <c r="V100" s="85">
        <f t="shared" si="9"/>
        <v>0.17060794533039508</v>
      </c>
      <c r="W100" s="85">
        <f t="shared" si="9"/>
        <v>-0.18860073732493318</v>
      </c>
      <c r="X100" s="85">
        <f t="shared" si="9"/>
        <v>1.0550729170309782E-2</v>
      </c>
      <c r="Y100" s="85">
        <f t="shared" si="9"/>
        <v>-5.9844646584606448E-2</v>
      </c>
      <c r="Z100" s="85">
        <f t="shared" si="9"/>
        <v>5.8650424856599249E-2</v>
      </c>
      <c r="AA100" s="85">
        <f t="shared" si="9"/>
        <v>2.5192886014239267E-2</v>
      </c>
      <c r="AB100" s="85">
        <f t="shared" si="9"/>
        <v>3.131543042249578E-2</v>
      </c>
      <c r="AC100" s="85">
        <f t="shared" si="9"/>
        <v>5.7787078677428043E-2</v>
      </c>
      <c r="AG100" s="86" t="s">
        <v>246</v>
      </c>
      <c r="AH100" s="85">
        <f>SUM(AH87:AH98)</f>
        <v>0.10948121428393404</v>
      </c>
      <c r="AI100" s="85">
        <f t="shared" ref="AI100:AS100" si="10">SUM(AI87:AI98)</f>
        <v>-6.639897831265909E-3</v>
      </c>
      <c r="AJ100" s="85">
        <f t="shared" si="10"/>
        <v>8.5789646476304438E-2</v>
      </c>
      <c r="AK100" s="85">
        <f t="shared" si="10"/>
        <v>8.1608183959908737E-2</v>
      </c>
      <c r="AL100" s="85">
        <f t="shared" si="10"/>
        <v>0.1566574174276722</v>
      </c>
      <c r="AM100" s="85">
        <f t="shared" si="10"/>
        <v>-0.14039869277175199</v>
      </c>
      <c r="AN100" s="85">
        <f t="shared" si="10"/>
        <v>1.3452894126808595E-2</v>
      </c>
      <c r="AO100" s="85">
        <f t="shared" si="10"/>
        <v>-7.5795670153252434E-2</v>
      </c>
      <c r="AP100" s="85">
        <f t="shared" si="10"/>
        <v>7.5611128143722547E-2</v>
      </c>
      <c r="AQ100" s="85">
        <f t="shared" si="10"/>
        <v>2.4616706238015207E-2</v>
      </c>
      <c r="AR100" s="85">
        <f t="shared" si="10"/>
        <v>4.5734300024166549E-2</v>
      </c>
      <c r="AS100" s="85">
        <f t="shared" si="10"/>
        <v>6.7173674108132769E-2</v>
      </c>
    </row>
    <row r="103" spans="2:45" ht="18">
      <c r="C103" s="79" t="s">
        <v>233</v>
      </c>
      <c r="D103" s="79" t="s">
        <v>234</v>
      </c>
      <c r="E103" s="79" t="s">
        <v>235</v>
      </c>
      <c r="F103" s="79" t="s">
        <v>236</v>
      </c>
      <c r="G103" s="79" t="s">
        <v>237</v>
      </c>
      <c r="H103" s="79" t="s">
        <v>238</v>
      </c>
      <c r="I103" s="79" t="s">
        <v>239</v>
      </c>
      <c r="J103" s="79" t="s">
        <v>240</v>
      </c>
      <c r="K103" s="79" t="s">
        <v>241</v>
      </c>
      <c r="L103" s="79" t="s">
        <v>242</v>
      </c>
      <c r="M103" s="79" t="s">
        <v>243</v>
      </c>
      <c r="N103" s="79" t="s">
        <v>244</v>
      </c>
    </row>
    <row r="104" spans="2:45">
      <c r="C104" s="64">
        <v>0.12085220029035372</v>
      </c>
      <c r="D104" s="64">
        <v>-1.0960038075584964E-2</v>
      </c>
      <c r="E104" s="64">
        <v>7.5858020928857975E-2</v>
      </c>
      <c r="F104" s="64">
        <v>8.5207275393248891E-2</v>
      </c>
      <c r="G104" s="64">
        <v>0.16602381892132637</v>
      </c>
      <c r="H104" s="64">
        <v>-0.17196654140370343</v>
      </c>
      <c r="I104" s="64">
        <v>1.212892331833881E-2</v>
      </c>
      <c r="J104" s="64">
        <v>-6.6466572857876549E-2</v>
      </c>
      <c r="K104" s="64">
        <v>6.4492479670082731E-2</v>
      </c>
      <c r="L104" s="64">
        <v>2.4990010110495772E-2</v>
      </c>
      <c r="M104" s="64">
        <v>3.7075142679248593E-2</v>
      </c>
      <c r="N104" s="64">
        <v>6.2333124010194668E-2</v>
      </c>
    </row>
    <row r="105" spans="2:45" ht="15" thickBot="1"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</row>
    <row r="106" spans="2:45" ht="18.600000000000001" thickBot="1">
      <c r="B106" s="65" t="s">
        <v>49</v>
      </c>
      <c r="C106" s="66" t="s">
        <v>214</v>
      </c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R106" s="87" t="s">
        <v>245</v>
      </c>
      <c r="S106" s="87" t="s">
        <v>247</v>
      </c>
      <c r="T106" s="87" t="s">
        <v>248</v>
      </c>
    </row>
    <row r="107" spans="2:45" ht="18.600000000000001" thickBot="1">
      <c r="B107" s="67" t="s">
        <v>3</v>
      </c>
      <c r="C107" s="68">
        <v>0.12085220029035372</v>
      </c>
      <c r="Q107" s="65" t="s">
        <v>49</v>
      </c>
      <c r="R107" s="66" t="s">
        <v>214</v>
      </c>
      <c r="S107" s="66" t="s">
        <v>214</v>
      </c>
      <c r="T107" s="66" t="s">
        <v>214</v>
      </c>
    </row>
    <row r="108" spans="2:45" ht="18">
      <c r="B108" s="67" t="s">
        <v>4</v>
      </c>
      <c r="C108" s="68">
        <v>-1.0960038075584964E-2</v>
      </c>
      <c r="Q108" s="88" t="s">
        <v>3</v>
      </c>
      <c r="R108" s="89">
        <v>0.12085220029035372</v>
      </c>
      <c r="S108" s="90">
        <v>0.12601803352788893</v>
      </c>
      <c r="T108" s="89">
        <v>0.10948121428393404</v>
      </c>
    </row>
    <row r="109" spans="2:45" ht="18">
      <c r="B109" s="67" t="s">
        <v>5</v>
      </c>
      <c r="C109" s="68">
        <v>7.5858020928857975E-2</v>
      </c>
      <c r="Q109" s="67" t="s">
        <v>4</v>
      </c>
      <c r="R109" s="68">
        <v>-1.0960038075584964E-2</v>
      </c>
      <c r="S109" s="91">
        <v>-1.3415927239515419E-2</v>
      </c>
      <c r="T109" s="68">
        <v>-6.639897831265909E-3</v>
      </c>
    </row>
    <row r="110" spans="2:45" ht="18">
      <c r="B110" s="67" t="s">
        <v>6</v>
      </c>
      <c r="C110" s="68">
        <v>8.5207275393248891E-2</v>
      </c>
      <c r="Q110" s="67" t="s">
        <v>5</v>
      </c>
      <c r="R110" s="68">
        <v>7.5858020928857975E-2</v>
      </c>
      <c r="S110" s="91">
        <v>6.9027470519994569E-2</v>
      </c>
      <c r="T110" s="68">
        <v>8.5789646476304438E-2</v>
      </c>
    </row>
    <row r="111" spans="2:45" ht="18">
      <c r="B111" s="67" t="s">
        <v>12</v>
      </c>
      <c r="C111" s="68">
        <v>0.16602381892132637</v>
      </c>
      <c r="Q111" s="67" t="s">
        <v>6</v>
      </c>
      <c r="R111" s="68">
        <v>8.5207275393248891E-2</v>
      </c>
      <c r="S111" s="91">
        <v>8.7604842900340665E-2</v>
      </c>
      <c r="T111" s="68">
        <v>8.1608183959908737E-2</v>
      </c>
    </row>
    <row r="112" spans="2:45" ht="18">
      <c r="B112" s="67" t="s">
        <v>7</v>
      </c>
      <c r="C112" s="68">
        <v>-0.17196654140370343</v>
      </c>
      <c r="Q112" s="67" t="s">
        <v>12</v>
      </c>
      <c r="R112" s="68">
        <v>0.16602381892132637</v>
      </c>
      <c r="S112" s="91">
        <v>0.17060794533039508</v>
      </c>
      <c r="T112" s="68">
        <v>0.1566574174276722</v>
      </c>
    </row>
    <row r="113" spans="2:20" ht="18">
      <c r="B113" s="67" t="s">
        <v>8</v>
      </c>
      <c r="C113" s="68">
        <v>1.212892331833881E-2</v>
      </c>
      <c r="Q113" s="67" t="s">
        <v>7</v>
      </c>
      <c r="R113" s="68">
        <v>-0.17196654140370343</v>
      </c>
      <c r="S113" s="91">
        <v>-0.18860073732493318</v>
      </c>
      <c r="T113" s="68">
        <v>-0.14039869277175199</v>
      </c>
    </row>
    <row r="114" spans="2:20" ht="18">
      <c r="B114" s="67" t="s">
        <v>9</v>
      </c>
      <c r="C114" s="68">
        <v>-6.6466572857876549E-2</v>
      </c>
      <c r="Q114" s="67" t="s">
        <v>8</v>
      </c>
      <c r="R114" s="68">
        <v>1.212892331833881E-2</v>
      </c>
      <c r="S114" s="91">
        <v>1.0550729170309782E-2</v>
      </c>
      <c r="T114" s="68">
        <v>1.3452894126808595E-2</v>
      </c>
    </row>
    <row r="115" spans="2:20" ht="18">
      <c r="B115" s="67" t="s">
        <v>10</v>
      </c>
      <c r="C115" s="68">
        <v>6.4492479670082731E-2</v>
      </c>
      <c r="Q115" s="67" t="s">
        <v>9</v>
      </c>
      <c r="R115" s="68">
        <v>-6.6466572857876549E-2</v>
      </c>
      <c r="S115" s="91">
        <v>-5.9844646584606448E-2</v>
      </c>
      <c r="T115" s="68">
        <v>-7.5795670153252434E-2</v>
      </c>
    </row>
    <row r="116" spans="2:20" ht="18">
      <c r="B116" s="67" t="s">
        <v>11</v>
      </c>
      <c r="C116" s="68">
        <v>2.4990010110495772E-2</v>
      </c>
      <c r="Q116" s="67" t="s">
        <v>10</v>
      </c>
      <c r="R116" s="68">
        <v>6.4492479670082731E-2</v>
      </c>
      <c r="S116" s="91">
        <v>5.8650424856599249E-2</v>
      </c>
      <c r="T116" s="68">
        <v>7.5611128143722547E-2</v>
      </c>
    </row>
    <row r="117" spans="2:20" ht="18">
      <c r="B117" s="67" t="s">
        <v>13</v>
      </c>
      <c r="C117" s="68">
        <v>3.7075142679248593E-2</v>
      </c>
      <c r="Q117" s="67" t="s">
        <v>11</v>
      </c>
      <c r="R117" s="68">
        <v>2.4990010110495772E-2</v>
      </c>
      <c r="S117" s="91">
        <v>2.5192886014239267E-2</v>
      </c>
      <c r="T117" s="68">
        <v>2.4616706238015207E-2</v>
      </c>
    </row>
    <row r="118" spans="2:20" ht="18.600000000000001" thickBot="1">
      <c r="B118" s="69" t="s">
        <v>14</v>
      </c>
      <c r="C118" s="70">
        <v>6.2333124010194668E-2</v>
      </c>
      <c r="Q118" s="67" t="s">
        <v>13</v>
      </c>
      <c r="R118" s="68">
        <v>3.7075142679248593E-2</v>
      </c>
      <c r="S118" s="91">
        <v>3.131543042249578E-2</v>
      </c>
      <c r="T118" s="68">
        <v>4.5734300024166549E-2</v>
      </c>
    </row>
    <row r="119" spans="2:20" ht="18.600000000000001" thickBot="1">
      <c r="Q119" s="69" t="s">
        <v>14</v>
      </c>
      <c r="R119" s="70">
        <v>6.2333124010194668E-2</v>
      </c>
      <c r="S119" s="92">
        <v>5.7787078677428043E-2</v>
      </c>
      <c r="T119" s="70">
        <v>6.7173674108132769E-2</v>
      </c>
    </row>
    <row r="134" spans="22:26" ht="15" thickBot="1"/>
    <row r="135" spans="22:26" ht="15.6">
      <c r="V135" s="93" t="s">
        <v>211</v>
      </c>
      <c r="W135" s="94"/>
      <c r="X135" s="94"/>
      <c r="Y135" s="94"/>
      <c r="Z135" s="95"/>
    </row>
    <row r="136" spans="22:26" ht="15.6">
      <c r="V136" s="36"/>
      <c r="W136" s="82" t="s">
        <v>249</v>
      </c>
      <c r="Z136" s="37"/>
    </row>
    <row r="137" spans="22:26" ht="15.6">
      <c r="V137" s="36"/>
      <c r="X137" s="82" t="s">
        <v>250</v>
      </c>
      <c r="Z137" s="37"/>
    </row>
    <row r="138" spans="22:26" ht="15.6">
      <c r="V138" s="36"/>
      <c r="X138" s="82" t="s">
        <v>251</v>
      </c>
      <c r="Z138" s="37"/>
    </row>
    <row r="139" spans="22:26" ht="15" thickBot="1">
      <c r="V139" s="41"/>
      <c r="W139" s="42"/>
      <c r="X139" s="42" t="s">
        <v>252</v>
      </c>
      <c r="Y139" s="42"/>
      <c r="Z139" s="43"/>
    </row>
  </sheetData>
  <conditionalFormatting sqref="C107:C1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:H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I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2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08:R1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8:S1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08:T1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B872-05B5-4FF3-9120-A0234285CE17}">
  <sheetPr filterMode="1"/>
  <dimension ref="A1:P373"/>
  <sheetViews>
    <sheetView topLeftCell="E1" workbookViewId="0">
      <selection activeCell="J380" sqref="J380"/>
    </sheetView>
  </sheetViews>
  <sheetFormatPr defaultRowHeight="14.4"/>
  <cols>
    <col min="13" max="13" width="20.5546875" customWidth="1"/>
  </cols>
  <sheetData>
    <row r="1" spans="1:16" ht="72">
      <c r="A1" s="1" t="s">
        <v>0</v>
      </c>
      <c r="B1" s="1" t="s">
        <v>1</v>
      </c>
      <c r="C1" s="1" t="s">
        <v>2</v>
      </c>
      <c r="D1" s="2" t="s">
        <v>49</v>
      </c>
      <c r="E1" s="1" t="s">
        <v>16</v>
      </c>
      <c r="F1" s="2" t="s">
        <v>52</v>
      </c>
      <c r="G1" s="6" t="s">
        <v>20</v>
      </c>
      <c r="H1" s="1" t="s">
        <v>21</v>
      </c>
      <c r="I1" s="1" t="s">
        <v>23</v>
      </c>
      <c r="J1" s="1" t="s">
        <v>26</v>
      </c>
      <c r="K1" s="8" t="s">
        <v>28</v>
      </c>
      <c r="L1" s="1" t="s">
        <v>29</v>
      </c>
      <c r="M1" s="9" t="s">
        <v>55</v>
      </c>
      <c r="P1" t="s">
        <v>193</v>
      </c>
    </row>
    <row r="2" spans="1:16" hidden="1">
      <c r="A2" t="s">
        <v>30</v>
      </c>
      <c r="B2">
        <v>2023</v>
      </c>
      <c r="C2" t="s">
        <v>38</v>
      </c>
      <c r="D2" s="3">
        <v>2290.7000000000007</v>
      </c>
      <c r="E2" s="3">
        <v>199.9</v>
      </c>
      <c r="F2" s="3">
        <v>569.90000000000009</v>
      </c>
      <c r="G2" s="3">
        <v>174</v>
      </c>
      <c r="H2" s="3">
        <v>182.5</v>
      </c>
      <c r="I2" s="3">
        <v>187.8</v>
      </c>
      <c r="J2" s="3">
        <v>180.3</v>
      </c>
      <c r="K2" s="3">
        <v>887.69999999999993</v>
      </c>
      <c r="L2" s="3">
        <v>179.8</v>
      </c>
      <c r="M2" s="10" t="s">
        <v>62</v>
      </c>
    </row>
    <row r="3" spans="1:16" hidden="1">
      <c r="A3" t="s">
        <v>33</v>
      </c>
      <c r="B3">
        <v>2023</v>
      </c>
      <c r="C3" t="s">
        <v>38</v>
      </c>
      <c r="D3" s="3">
        <v>2335.1</v>
      </c>
      <c r="E3" s="3">
        <v>204.2</v>
      </c>
      <c r="F3" s="3">
        <v>528.70000000000005</v>
      </c>
      <c r="G3" s="3">
        <v>175.6</v>
      </c>
      <c r="H3" s="3">
        <v>183.4</v>
      </c>
      <c r="I3" s="3">
        <v>182.2</v>
      </c>
      <c r="J3" s="3">
        <v>174.8</v>
      </c>
      <c r="K3" s="3">
        <v>856.9</v>
      </c>
      <c r="L3" s="3">
        <v>178.2</v>
      </c>
      <c r="M3" s="10" t="s">
        <v>62</v>
      </c>
    </row>
    <row r="4" spans="1:16" hidden="1">
      <c r="A4" t="s">
        <v>30</v>
      </c>
      <c r="B4">
        <v>2023</v>
      </c>
      <c r="C4" t="s">
        <v>36</v>
      </c>
      <c r="D4" s="3">
        <v>2265.8000000000002</v>
      </c>
      <c r="E4" s="3">
        <v>198.4</v>
      </c>
      <c r="F4" s="3">
        <v>566.6</v>
      </c>
      <c r="G4" s="3">
        <v>174</v>
      </c>
      <c r="H4" s="3">
        <v>181.4</v>
      </c>
      <c r="I4" s="3">
        <v>186.6</v>
      </c>
      <c r="J4" s="3">
        <v>178.5</v>
      </c>
      <c r="K4" s="3">
        <v>879.00000000000011</v>
      </c>
      <c r="L4" s="3">
        <v>178</v>
      </c>
      <c r="M4" s="10" t="s">
        <v>63</v>
      </c>
    </row>
    <row r="5" spans="1:16" hidden="1">
      <c r="A5" t="s">
        <v>33</v>
      </c>
      <c r="B5">
        <v>2023</v>
      </c>
      <c r="C5" t="s">
        <v>36</v>
      </c>
      <c r="D5" s="3">
        <v>2303.4</v>
      </c>
      <c r="E5" s="3">
        <v>202.7</v>
      </c>
      <c r="F5" s="3">
        <v>525.4</v>
      </c>
      <c r="G5" s="3">
        <v>173.5</v>
      </c>
      <c r="H5" s="3">
        <v>182.6</v>
      </c>
      <c r="I5" s="3">
        <v>180.8</v>
      </c>
      <c r="J5" s="3">
        <v>172.5</v>
      </c>
      <c r="K5" s="3">
        <v>848.9</v>
      </c>
      <c r="L5" s="3">
        <v>176.3</v>
      </c>
      <c r="M5" s="10" t="s">
        <v>63</v>
      </c>
    </row>
    <row r="6" spans="1:16" hidden="1">
      <c r="A6" t="s">
        <v>30</v>
      </c>
      <c r="B6">
        <v>2023</v>
      </c>
      <c r="C6" t="s">
        <v>31</v>
      </c>
      <c r="D6" s="3">
        <v>2283.2000000000003</v>
      </c>
      <c r="E6" s="3">
        <v>196.9</v>
      </c>
      <c r="F6" s="3">
        <v>563.9</v>
      </c>
      <c r="G6" s="3">
        <v>174</v>
      </c>
      <c r="H6" s="3">
        <v>183.2</v>
      </c>
      <c r="I6" s="3">
        <v>184.7</v>
      </c>
      <c r="J6" s="3">
        <v>177.8</v>
      </c>
      <c r="K6" s="3">
        <v>872.1</v>
      </c>
      <c r="L6" s="3">
        <v>177.8</v>
      </c>
      <c r="M6" s="10" t="s">
        <v>64</v>
      </c>
    </row>
    <row r="7" spans="1:16" hidden="1">
      <c r="A7" t="s">
        <v>33</v>
      </c>
      <c r="B7">
        <v>2023</v>
      </c>
      <c r="C7" t="s">
        <v>31</v>
      </c>
      <c r="D7" s="3">
        <v>2310.2000000000003</v>
      </c>
      <c r="E7" s="3">
        <v>201.6</v>
      </c>
      <c r="F7" s="3">
        <v>520.6</v>
      </c>
      <c r="G7" s="3">
        <v>172.1</v>
      </c>
      <c r="H7" s="3">
        <v>180.1</v>
      </c>
      <c r="I7" s="3">
        <v>178.5</v>
      </c>
      <c r="J7" s="3">
        <v>171.8</v>
      </c>
      <c r="K7" s="3">
        <v>843</v>
      </c>
      <c r="L7" s="3">
        <v>174.9</v>
      </c>
      <c r="M7" s="10" t="s">
        <v>64</v>
      </c>
    </row>
    <row r="8" spans="1:16" hidden="1">
      <c r="A8" t="s">
        <v>30</v>
      </c>
      <c r="B8">
        <v>2023</v>
      </c>
      <c r="C8" t="s">
        <v>35</v>
      </c>
      <c r="D8" s="3">
        <v>2265.6999999999998</v>
      </c>
      <c r="E8" s="3">
        <v>198.3</v>
      </c>
      <c r="F8" s="3">
        <v>566.6</v>
      </c>
      <c r="G8" s="3">
        <v>174</v>
      </c>
      <c r="H8" s="3">
        <v>181.6</v>
      </c>
      <c r="I8" s="3">
        <v>186.6</v>
      </c>
      <c r="J8" s="3">
        <v>178.5</v>
      </c>
      <c r="K8" s="3">
        <v>879.00000000000011</v>
      </c>
      <c r="L8" s="3">
        <v>178</v>
      </c>
      <c r="M8" s="10" t="s">
        <v>65</v>
      </c>
    </row>
    <row r="9" spans="1:16" hidden="1">
      <c r="A9" t="s">
        <v>33</v>
      </c>
      <c r="B9">
        <v>2023</v>
      </c>
      <c r="C9" t="s">
        <v>35</v>
      </c>
      <c r="D9" s="3">
        <v>2303.1999999999998</v>
      </c>
      <c r="E9" s="3">
        <v>202.7</v>
      </c>
      <c r="F9" s="3">
        <v>525.5</v>
      </c>
      <c r="G9" s="3">
        <v>173.5</v>
      </c>
      <c r="H9" s="3">
        <v>182.8</v>
      </c>
      <c r="I9" s="3">
        <v>180.8</v>
      </c>
      <c r="J9" s="3">
        <v>172.5</v>
      </c>
      <c r="K9" s="3">
        <v>848.8</v>
      </c>
      <c r="L9" s="3">
        <v>176.3</v>
      </c>
      <c r="M9" s="10" t="s">
        <v>65</v>
      </c>
    </row>
    <row r="10" spans="1:16" hidden="1">
      <c r="A10" t="s">
        <v>30</v>
      </c>
      <c r="B10">
        <v>2023</v>
      </c>
      <c r="C10" t="s">
        <v>37</v>
      </c>
      <c r="D10" s="3">
        <v>2274.1999999999998</v>
      </c>
      <c r="E10" s="3">
        <v>199.5</v>
      </c>
      <c r="F10" s="3">
        <v>568.20000000000005</v>
      </c>
      <c r="G10" s="3">
        <v>174</v>
      </c>
      <c r="H10" s="3">
        <v>181.5</v>
      </c>
      <c r="I10" s="3">
        <v>187.2</v>
      </c>
      <c r="J10" s="3">
        <v>179.4</v>
      </c>
      <c r="K10" s="3">
        <v>884.4</v>
      </c>
      <c r="L10" s="3">
        <v>178.8</v>
      </c>
      <c r="M10" s="10" t="s">
        <v>66</v>
      </c>
    </row>
    <row r="11" spans="1:16" hidden="1">
      <c r="A11" t="s">
        <v>33</v>
      </c>
      <c r="B11">
        <v>2023</v>
      </c>
      <c r="C11" t="s">
        <v>37</v>
      </c>
      <c r="D11" s="3">
        <v>2317.7000000000003</v>
      </c>
      <c r="E11" s="3">
        <v>203.5</v>
      </c>
      <c r="F11" s="3">
        <v>527.6</v>
      </c>
      <c r="G11" s="3">
        <v>175.2</v>
      </c>
      <c r="H11" s="3">
        <v>182.1</v>
      </c>
      <c r="I11" s="3">
        <v>181.5</v>
      </c>
      <c r="J11" s="3">
        <v>174.2</v>
      </c>
      <c r="K11" s="3">
        <v>853.8</v>
      </c>
      <c r="L11" s="3">
        <v>177.4</v>
      </c>
      <c r="M11" s="10" t="s">
        <v>66</v>
      </c>
    </row>
    <row r="12" spans="1:16" hidden="1">
      <c r="A12" t="s">
        <v>34</v>
      </c>
      <c r="B12">
        <v>2023</v>
      </c>
      <c r="C12" t="s">
        <v>38</v>
      </c>
      <c r="D12" s="3">
        <v>2317.7000000000003</v>
      </c>
      <c r="E12" s="3">
        <v>201</v>
      </c>
      <c r="F12" s="3">
        <v>553.20000000000005</v>
      </c>
      <c r="G12" s="3">
        <v>175.6</v>
      </c>
      <c r="H12" s="3">
        <v>182.8</v>
      </c>
      <c r="I12" s="3">
        <v>185.7</v>
      </c>
      <c r="J12" s="3">
        <v>177.1</v>
      </c>
      <c r="K12" s="3">
        <v>872.09999999999991</v>
      </c>
      <c r="L12" s="3">
        <v>179.1</v>
      </c>
      <c r="M12" s="10" t="s">
        <v>62</v>
      </c>
    </row>
    <row r="13" spans="1:16" hidden="1">
      <c r="A13" t="s">
        <v>34</v>
      </c>
      <c r="B13">
        <v>2023</v>
      </c>
      <c r="C13" t="s">
        <v>36</v>
      </c>
      <c r="D13" s="3">
        <v>2279.1999999999998</v>
      </c>
      <c r="E13" s="3">
        <v>199.5</v>
      </c>
      <c r="F13" s="3">
        <v>549.9</v>
      </c>
      <c r="G13" s="3">
        <v>173.5</v>
      </c>
      <c r="H13" s="3">
        <v>181.9</v>
      </c>
      <c r="I13" s="3">
        <v>184.4</v>
      </c>
      <c r="J13" s="3">
        <v>175</v>
      </c>
      <c r="K13" s="3">
        <v>863.80000000000007</v>
      </c>
      <c r="L13" s="3">
        <v>177.2</v>
      </c>
      <c r="M13" s="10" t="s">
        <v>63</v>
      </c>
    </row>
    <row r="14" spans="1:16" hidden="1">
      <c r="A14" t="s">
        <v>34</v>
      </c>
      <c r="B14">
        <v>2023</v>
      </c>
      <c r="C14" t="s">
        <v>31</v>
      </c>
      <c r="D14" s="3">
        <v>2292.6999999999998</v>
      </c>
      <c r="E14" s="3">
        <v>198.2</v>
      </c>
      <c r="F14" s="3">
        <v>546.29999999999995</v>
      </c>
      <c r="G14" s="3">
        <v>172.1</v>
      </c>
      <c r="H14" s="3">
        <v>182</v>
      </c>
      <c r="I14" s="3">
        <v>182.3</v>
      </c>
      <c r="J14" s="3">
        <v>174.3</v>
      </c>
      <c r="K14" s="3">
        <v>857.40000000000009</v>
      </c>
      <c r="L14" s="3">
        <v>176.5</v>
      </c>
      <c r="M14" s="10" t="s">
        <v>64</v>
      </c>
    </row>
    <row r="15" spans="1:16" hidden="1">
      <c r="A15" t="s">
        <v>34</v>
      </c>
      <c r="B15">
        <v>2023</v>
      </c>
      <c r="C15" t="s">
        <v>35</v>
      </c>
      <c r="D15" s="3">
        <v>2279.1</v>
      </c>
      <c r="E15" s="3">
        <v>199.5</v>
      </c>
      <c r="F15" s="3">
        <v>550</v>
      </c>
      <c r="G15" s="3">
        <v>173.5</v>
      </c>
      <c r="H15" s="3">
        <v>182.1</v>
      </c>
      <c r="I15" s="3">
        <v>184.4</v>
      </c>
      <c r="J15" s="3">
        <v>175</v>
      </c>
      <c r="K15" s="3">
        <v>863.80000000000007</v>
      </c>
      <c r="L15" s="3">
        <v>177.2</v>
      </c>
      <c r="M15" s="10" t="s">
        <v>65</v>
      </c>
    </row>
    <row r="16" spans="1:16" hidden="1">
      <c r="A16" t="s">
        <v>34</v>
      </c>
      <c r="B16">
        <v>2023</v>
      </c>
      <c r="C16" t="s">
        <v>37</v>
      </c>
      <c r="D16" s="3">
        <v>2289.6000000000004</v>
      </c>
      <c r="E16" s="3">
        <v>200.6</v>
      </c>
      <c r="F16" s="3">
        <v>551.79999999999995</v>
      </c>
      <c r="G16" s="3">
        <v>175.2</v>
      </c>
      <c r="H16" s="3">
        <v>181.7</v>
      </c>
      <c r="I16" s="3">
        <v>185</v>
      </c>
      <c r="J16" s="3">
        <v>176.4</v>
      </c>
      <c r="K16" s="3">
        <v>868.8</v>
      </c>
      <c r="L16" s="3">
        <v>178.1</v>
      </c>
      <c r="M16" s="10" t="s">
        <v>66</v>
      </c>
    </row>
    <row r="17" spans="1:13" hidden="1">
      <c r="A17" t="s">
        <v>30</v>
      </c>
      <c r="B17">
        <v>2022</v>
      </c>
      <c r="C17" t="s">
        <v>42</v>
      </c>
      <c r="D17" s="3">
        <v>2267.8000000000002</v>
      </c>
      <c r="E17" s="3">
        <v>194.5</v>
      </c>
      <c r="F17" s="3">
        <v>552.5</v>
      </c>
      <c r="G17" s="3">
        <v>168</v>
      </c>
      <c r="H17" s="3">
        <v>179.7</v>
      </c>
      <c r="I17" s="3">
        <v>180.2</v>
      </c>
      <c r="J17" s="3">
        <v>176.2</v>
      </c>
      <c r="K17" s="3">
        <v>854.4</v>
      </c>
      <c r="L17" s="3">
        <v>176.4</v>
      </c>
      <c r="M17" s="10" t="s">
        <v>67</v>
      </c>
    </row>
    <row r="18" spans="1:13" hidden="1">
      <c r="A18" t="s">
        <v>33</v>
      </c>
      <c r="B18">
        <v>2022</v>
      </c>
      <c r="C18" t="s">
        <v>42</v>
      </c>
      <c r="D18" s="3">
        <v>2306.4</v>
      </c>
      <c r="E18" s="3">
        <v>199.7</v>
      </c>
      <c r="F18" s="3">
        <v>509.7</v>
      </c>
      <c r="G18" s="3">
        <v>169.5</v>
      </c>
      <c r="H18" s="3">
        <v>179.2</v>
      </c>
      <c r="I18" s="3">
        <v>173.8</v>
      </c>
      <c r="J18" s="3">
        <v>170.9</v>
      </c>
      <c r="K18" s="3">
        <v>826.2</v>
      </c>
      <c r="L18" s="3">
        <v>174.1</v>
      </c>
      <c r="M18" s="10" t="s">
        <v>67</v>
      </c>
    </row>
    <row r="19" spans="1:13" hidden="1">
      <c r="A19" t="s">
        <v>30</v>
      </c>
      <c r="B19">
        <v>2022</v>
      </c>
      <c r="C19" t="s">
        <v>43</v>
      </c>
      <c r="D19" s="3">
        <v>2284.5</v>
      </c>
      <c r="E19" s="3">
        <v>194.9</v>
      </c>
      <c r="F19" s="3">
        <v>556.4</v>
      </c>
      <c r="G19" s="3">
        <v>168</v>
      </c>
      <c r="H19" s="3">
        <v>180.8</v>
      </c>
      <c r="I19" s="3">
        <v>181.2</v>
      </c>
      <c r="J19" s="3">
        <v>176.5</v>
      </c>
      <c r="K19" s="3">
        <v>858.3</v>
      </c>
      <c r="L19" s="3">
        <v>177.9</v>
      </c>
      <c r="M19" s="10" t="s">
        <v>68</v>
      </c>
    </row>
    <row r="20" spans="1:13" hidden="1">
      <c r="A20" t="s">
        <v>33</v>
      </c>
      <c r="B20">
        <v>2022</v>
      </c>
      <c r="C20" t="s">
        <v>43</v>
      </c>
      <c r="D20" s="3">
        <v>2322.3000000000002</v>
      </c>
      <c r="E20" s="3">
        <v>200.1</v>
      </c>
      <c r="F20" s="3">
        <v>511.70000000000005</v>
      </c>
      <c r="G20" s="3">
        <v>171.2</v>
      </c>
      <c r="H20" s="3">
        <v>180</v>
      </c>
      <c r="I20" s="3">
        <v>174.7</v>
      </c>
      <c r="J20" s="3">
        <v>171.2</v>
      </c>
      <c r="K20" s="3">
        <v>830.2</v>
      </c>
      <c r="L20" s="3">
        <v>175.3</v>
      </c>
      <c r="M20" s="10" t="s">
        <v>68</v>
      </c>
    </row>
    <row r="21" spans="1:13" hidden="1">
      <c r="A21" t="s">
        <v>30</v>
      </c>
      <c r="B21">
        <v>2022</v>
      </c>
      <c r="C21" t="s">
        <v>45</v>
      </c>
      <c r="D21" s="3">
        <v>2287.6999999999998</v>
      </c>
      <c r="E21" s="3">
        <v>195.5</v>
      </c>
      <c r="F21" s="3">
        <v>559.29999999999995</v>
      </c>
      <c r="G21" s="3">
        <v>168</v>
      </c>
      <c r="H21" s="3">
        <v>181.9</v>
      </c>
      <c r="I21" s="3">
        <v>182.3</v>
      </c>
      <c r="J21" s="3">
        <v>176.9</v>
      </c>
      <c r="K21" s="3">
        <v>861.8</v>
      </c>
      <c r="L21" s="3">
        <v>177.8</v>
      </c>
      <c r="M21" s="10" t="s">
        <v>69</v>
      </c>
    </row>
    <row r="22" spans="1:13" hidden="1">
      <c r="A22" t="s">
        <v>33</v>
      </c>
      <c r="B22">
        <v>2022</v>
      </c>
      <c r="C22" t="s">
        <v>45</v>
      </c>
      <c r="D22" s="3">
        <v>2314.4</v>
      </c>
      <c r="E22" s="3">
        <v>200.6</v>
      </c>
      <c r="F22" s="3">
        <v>514.9</v>
      </c>
      <c r="G22" s="3">
        <v>171.8</v>
      </c>
      <c r="H22" s="3">
        <v>180.3</v>
      </c>
      <c r="I22" s="3">
        <v>175.8</v>
      </c>
      <c r="J22" s="3">
        <v>171.5</v>
      </c>
      <c r="K22" s="3">
        <v>833.69999999999993</v>
      </c>
      <c r="L22" s="3">
        <v>174.1</v>
      </c>
      <c r="M22" s="10" t="s">
        <v>69</v>
      </c>
    </row>
    <row r="23" spans="1:13">
      <c r="A23" t="s">
        <v>30</v>
      </c>
      <c r="B23">
        <v>2022</v>
      </c>
      <c r="C23" t="s">
        <v>38</v>
      </c>
      <c r="D23" s="3">
        <v>2226.8000000000002</v>
      </c>
      <c r="E23" s="3">
        <v>192.9</v>
      </c>
      <c r="F23" s="3">
        <v>535.5</v>
      </c>
      <c r="G23" s="3">
        <v>168</v>
      </c>
      <c r="H23" s="3">
        <v>175.3</v>
      </c>
      <c r="I23" s="3">
        <v>177.7</v>
      </c>
      <c r="J23" s="3">
        <v>171.8</v>
      </c>
      <c r="K23" s="3">
        <v>843</v>
      </c>
      <c r="L23" s="3">
        <v>172.5</v>
      </c>
      <c r="M23" s="10" t="s">
        <v>70</v>
      </c>
    </row>
    <row r="24" spans="1:13">
      <c r="A24" t="s">
        <v>33</v>
      </c>
      <c r="B24">
        <v>2022</v>
      </c>
      <c r="C24" t="s">
        <v>38</v>
      </c>
      <c r="D24" s="3">
        <v>2262.2000000000003</v>
      </c>
      <c r="E24" s="3">
        <v>197.5</v>
      </c>
      <c r="F24" s="3">
        <v>493.7</v>
      </c>
      <c r="G24" s="3">
        <v>167.5</v>
      </c>
      <c r="H24" s="3">
        <v>173.5</v>
      </c>
      <c r="I24" s="3">
        <v>170.1</v>
      </c>
      <c r="J24" s="3">
        <v>165.2</v>
      </c>
      <c r="K24" s="3">
        <v>815.7</v>
      </c>
      <c r="L24" s="3">
        <v>170.8</v>
      </c>
      <c r="M24" s="10" t="s">
        <v>70</v>
      </c>
    </row>
    <row r="25" spans="1:13" hidden="1">
      <c r="A25" t="s">
        <v>30</v>
      </c>
      <c r="B25">
        <v>2022</v>
      </c>
      <c r="C25" t="s">
        <v>36</v>
      </c>
      <c r="D25" s="3">
        <v>2179.1000000000004</v>
      </c>
      <c r="E25" s="3">
        <v>192.3</v>
      </c>
      <c r="F25" s="3">
        <v>523.70000000000005</v>
      </c>
      <c r="G25" s="3">
        <v>168</v>
      </c>
      <c r="H25" s="3">
        <v>168.9</v>
      </c>
      <c r="I25" s="3">
        <v>176</v>
      </c>
      <c r="J25" s="3">
        <v>170.6</v>
      </c>
      <c r="K25" s="3">
        <v>830.8</v>
      </c>
      <c r="L25" s="3">
        <v>168.7</v>
      </c>
      <c r="M25" s="10" t="s">
        <v>71</v>
      </c>
    </row>
    <row r="26" spans="1:13" hidden="1">
      <c r="A26" t="s">
        <v>33</v>
      </c>
      <c r="B26">
        <v>2022</v>
      </c>
      <c r="C26" t="s">
        <v>36</v>
      </c>
      <c r="D26" s="3">
        <v>2196.3000000000002</v>
      </c>
      <c r="E26" s="3">
        <v>197.5</v>
      </c>
      <c r="F26" s="3">
        <v>484.6</v>
      </c>
      <c r="G26" s="3">
        <v>165.3</v>
      </c>
      <c r="H26" s="3">
        <v>164.5</v>
      </c>
      <c r="I26" s="3">
        <v>168.2</v>
      </c>
      <c r="J26" s="3">
        <v>162.69999999999999</v>
      </c>
      <c r="K26" s="3">
        <v>801</v>
      </c>
      <c r="L26" s="3">
        <v>166.5</v>
      </c>
      <c r="M26" s="10" t="s">
        <v>71</v>
      </c>
    </row>
    <row r="27" spans="1:13" hidden="1">
      <c r="A27" t="s">
        <v>30</v>
      </c>
      <c r="B27">
        <v>2022</v>
      </c>
      <c r="C27" t="s">
        <v>39</v>
      </c>
      <c r="D27" s="3">
        <v>2248.3000000000002</v>
      </c>
      <c r="E27" s="3">
        <v>192.9</v>
      </c>
      <c r="F27" s="3">
        <v>539.79999999999995</v>
      </c>
      <c r="G27" s="3">
        <v>168</v>
      </c>
      <c r="H27" s="3">
        <v>176.7</v>
      </c>
      <c r="I27" s="3">
        <v>178.2</v>
      </c>
      <c r="J27" s="3">
        <v>172.6</v>
      </c>
      <c r="K27" s="3">
        <v>844.3</v>
      </c>
      <c r="L27" s="3">
        <v>173.6</v>
      </c>
      <c r="M27" s="10" t="s">
        <v>72</v>
      </c>
    </row>
    <row r="28" spans="1:13" hidden="1">
      <c r="A28" t="s">
        <v>33</v>
      </c>
      <c r="B28">
        <v>2022</v>
      </c>
      <c r="C28" t="s">
        <v>39</v>
      </c>
      <c r="D28" s="3">
        <v>2287.5</v>
      </c>
      <c r="E28" s="3">
        <v>198.3</v>
      </c>
      <c r="F28" s="3">
        <v>498.4</v>
      </c>
      <c r="G28" s="3">
        <v>166.8</v>
      </c>
      <c r="H28" s="3">
        <v>174.9</v>
      </c>
      <c r="I28" s="3">
        <v>170.9</v>
      </c>
      <c r="J28" s="3">
        <v>166.5</v>
      </c>
      <c r="K28" s="3">
        <v>816.39999999999986</v>
      </c>
      <c r="L28" s="3">
        <v>171.4</v>
      </c>
      <c r="M28" s="10" t="s">
        <v>72</v>
      </c>
    </row>
    <row r="29" spans="1:13" hidden="1">
      <c r="A29" t="s">
        <v>30</v>
      </c>
      <c r="B29">
        <v>2022</v>
      </c>
      <c r="C29" t="s">
        <v>40</v>
      </c>
      <c r="D29" s="3">
        <v>2252.5</v>
      </c>
      <c r="E29" s="3">
        <v>193.2</v>
      </c>
      <c r="F29" s="3">
        <v>544</v>
      </c>
      <c r="G29" s="3">
        <v>168</v>
      </c>
      <c r="H29" s="3">
        <v>179.6</v>
      </c>
      <c r="I29" s="3">
        <v>178.8</v>
      </c>
      <c r="J29" s="3">
        <v>174.7</v>
      </c>
      <c r="K29" s="3">
        <v>847.7</v>
      </c>
      <c r="L29" s="3">
        <v>174.3</v>
      </c>
      <c r="M29" s="10" t="s">
        <v>73</v>
      </c>
    </row>
    <row r="30" spans="1:13" hidden="1">
      <c r="A30" t="s">
        <v>33</v>
      </c>
      <c r="B30">
        <v>2022</v>
      </c>
      <c r="C30" t="s">
        <v>40</v>
      </c>
      <c r="D30" s="3">
        <v>2291.6</v>
      </c>
      <c r="E30" s="3">
        <v>198.6</v>
      </c>
      <c r="F30" s="3">
        <v>502</v>
      </c>
      <c r="G30" s="3">
        <v>167.8</v>
      </c>
      <c r="H30" s="3">
        <v>179.5</v>
      </c>
      <c r="I30" s="3">
        <v>171.7</v>
      </c>
      <c r="J30" s="3">
        <v>169.1</v>
      </c>
      <c r="K30" s="3">
        <v>819.60000000000014</v>
      </c>
      <c r="L30" s="3">
        <v>172.3</v>
      </c>
      <c r="M30" s="10" t="s">
        <v>73</v>
      </c>
    </row>
    <row r="31" spans="1:13" hidden="1">
      <c r="A31" t="s">
        <v>30</v>
      </c>
      <c r="B31">
        <v>2022</v>
      </c>
      <c r="C31" t="s">
        <v>31</v>
      </c>
      <c r="D31" s="3">
        <v>2153</v>
      </c>
      <c r="E31" s="3">
        <v>190.7</v>
      </c>
      <c r="F31" s="3">
        <v>515.20000000000005</v>
      </c>
      <c r="G31" s="3">
        <v>168</v>
      </c>
      <c r="H31" s="3">
        <v>165.8</v>
      </c>
      <c r="I31" s="3">
        <v>174.7</v>
      </c>
      <c r="J31" s="3">
        <v>169.9</v>
      </c>
      <c r="K31" s="3">
        <v>820.4</v>
      </c>
      <c r="L31" s="3">
        <v>166.4</v>
      </c>
      <c r="M31" s="10" t="s">
        <v>74</v>
      </c>
    </row>
    <row r="32" spans="1:13" hidden="1">
      <c r="A32" t="s">
        <v>33</v>
      </c>
      <c r="B32">
        <v>2022</v>
      </c>
      <c r="C32" t="s">
        <v>31</v>
      </c>
      <c r="D32" s="3">
        <v>2186.6999999999998</v>
      </c>
      <c r="E32" s="3">
        <v>196.4</v>
      </c>
      <c r="F32" s="3">
        <v>475.4</v>
      </c>
      <c r="G32" s="3">
        <v>164.5</v>
      </c>
      <c r="H32" s="3">
        <v>161.6</v>
      </c>
      <c r="I32" s="3">
        <v>166.1</v>
      </c>
      <c r="J32" s="3">
        <v>161</v>
      </c>
      <c r="K32" s="3">
        <v>789.30000000000007</v>
      </c>
      <c r="L32" s="3">
        <v>165</v>
      </c>
      <c r="M32" s="10" t="s">
        <v>74</v>
      </c>
    </row>
    <row r="33" spans="1:13" hidden="1">
      <c r="A33" t="s">
        <v>30</v>
      </c>
      <c r="B33">
        <v>2022</v>
      </c>
      <c r="C33" t="s">
        <v>35</v>
      </c>
      <c r="D33" s="3">
        <v>2150.4</v>
      </c>
      <c r="E33" s="3">
        <v>191.5</v>
      </c>
      <c r="F33" s="3">
        <v>518.79999999999995</v>
      </c>
      <c r="G33" s="3">
        <v>168</v>
      </c>
      <c r="H33" s="3">
        <v>167.4</v>
      </c>
      <c r="I33" s="3">
        <v>175.3</v>
      </c>
      <c r="J33" s="3">
        <v>170.3</v>
      </c>
      <c r="K33" s="3">
        <v>824.2</v>
      </c>
      <c r="L33" s="3">
        <v>166.7</v>
      </c>
      <c r="M33" s="10" t="s">
        <v>75</v>
      </c>
    </row>
    <row r="34" spans="1:13" hidden="1">
      <c r="A34" t="s">
        <v>33</v>
      </c>
      <c r="B34">
        <v>2022</v>
      </c>
      <c r="C34" t="s">
        <v>35</v>
      </c>
      <c r="D34" s="3">
        <v>2183.5</v>
      </c>
      <c r="E34" s="3">
        <v>196.5</v>
      </c>
      <c r="F34" s="3">
        <v>479.5</v>
      </c>
      <c r="G34" s="3">
        <v>165.5</v>
      </c>
      <c r="H34" s="3">
        <v>163</v>
      </c>
      <c r="I34" s="3">
        <v>167.2</v>
      </c>
      <c r="J34" s="3">
        <v>162</v>
      </c>
      <c r="K34" s="3">
        <v>793.6</v>
      </c>
      <c r="L34" s="3">
        <v>165.5</v>
      </c>
      <c r="M34" s="10" t="s">
        <v>75</v>
      </c>
    </row>
    <row r="35" spans="1:13" hidden="1">
      <c r="A35" t="s">
        <v>30</v>
      </c>
      <c r="B35">
        <v>2022</v>
      </c>
      <c r="C35" t="s">
        <v>46</v>
      </c>
      <c r="D35" s="3">
        <v>2277.1</v>
      </c>
      <c r="E35" s="3">
        <v>195.9</v>
      </c>
      <c r="F35" s="3">
        <v>561.79999999999995</v>
      </c>
      <c r="G35" s="3">
        <v>168</v>
      </c>
      <c r="H35" s="3">
        <v>182.8</v>
      </c>
      <c r="I35" s="3">
        <v>183.5</v>
      </c>
      <c r="J35" s="3">
        <v>177.3</v>
      </c>
      <c r="K35" s="3">
        <v>866.60000000000014</v>
      </c>
      <c r="L35" s="3">
        <v>177.1</v>
      </c>
      <c r="M35" s="10" t="s">
        <v>76</v>
      </c>
    </row>
    <row r="36" spans="1:13" hidden="1">
      <c r="A36" t="s">
        <v>33</v>
      </c>
      <c r="B36">
        <v>2022</v>
      </c>
      <c r="C36" t="s">
        <v>46</v>
      </c>
      <c r="D36" s="3">
        <v>2295.7999999999997</v>
      </c>
      <c r="E36" s="3">
        <v>201.1</v>
      </c>
      <c r="F36" s="3">
        <v>517.9</v>
      </c>
      <c r="G36" s="3">
        <v>170.7</v>
      </c>
      <c r="H36" s="3">
        <v>180.6</v>
      </c>
      <c r="I36" s="3">
        <v>177.2</v>
      </c>
      <c r="J36" s="3">
        <v>171.8</v>
      </c>
      <c r="K36" s="3">
        <v>838</v>
      </c>
      <c r="L36" s="3">
        <v>174.1</v>
      </c>
      <c r="M36" s="10" t="s">
        <v>76</v>
      </c>
    </row>
    <row r="37" spans="1:13" hidden="1">
      <c r="A37" t="s">
        <v>30</v>
      </c>
      <c r="B37">
        <v>2022</v>
      </c>
      <c r="C37" t="s">
        <v>41</v>
      </c>
      <c r="D37" s="3">
        <v>2255.7999999999997</v>
      </c>
      <c r="E37" s="3">
        <v>193.7</v>
      </c>
      <c r="F37" s="3">
        <v>547.9</v>
      </c>
      <c r="G37" s="3">
        <v>168</v>
      </c>
      <c r="H37" s="3">
        <v>179.1</v>
      </c>
      <c r="I37" s="3">
        <v>179.4</v>
      </c>
      <c r="J37" s="3">
        <v>175.7</v>
      </c>
      <c r="K37" s="3">
        <v>851.9</v>
      </c>
      <c r="L37" s="3">
        <v>175.3</v>
      </c>
      <c r="M37" s="10" t="s">
        <v>77</v>
      </c>
    </row>
    <row r="38" spans="1:13" hidden="1">
      <c r="A38" t="s">
        <v>33</v>
      </c>
      <c r="B38">
        <v>2022</v>
      </c>
      <c r="C38" t="s">
        <v>41</v>
      </c>
      <c r="D38" s="3">
        <v>2293.6999999999998</v>
      </c>
      <c r="E38" s="3">
        <v>198.7</v>
      </c>
      <c r="F38" s="3">
        <v>505.29999999999995</v>
      </c>
      <c r="G38" s="3">
        <v>169</v>
      </c>
      <c r="H38" s="3">
        <v>178.4</v>
      </c>
      <c r="I38" s="3">
        <v>172.6</v>
      </c>
      <c r="J38" s="3">
        <v>169.9</v>
      </c>
      <c r="K38" s="3">
        <v>823.8</v>
      </c>
      <c r="L38" s="3">
        <v>173.1</v>
      </c>
      <c r="M38" s="10" t="s">
        <v>77</v>
      </c>
    </row>
    <row r="39" spans="1:13" hidden="1">
      <c r="A39" t="s">
        <v>30</v>
      </c>
      <c r="B39">
        <v>2022</v>
      </c>
      <c r="C39" t="s">
        <v>37</v>
      </c>
      <c r="D39" s="3">
        <v>2206.6</v>
      </c>
      <c r="E39" s="3">
        <v>192.8</v>
      </c>
      <c r="F39" s="3">
        <v>529.70000000000005</v>
      </c>
      <c r="G39" s="3">
        <v>168</v>
      </c>
      <c r="H39" s="3">
        <v>173.3</v>
      </c>
      <c r="I39" s="3">
        <v>177</v>
      </c>
      <c r="J39" s="3">
        <v>170.9</v>
      </c>
      <c r="K39" s="3">
        <v>840.3</v>
      </c>
      <c r="L39" s="3">
        <v>170.8</v>
      </c>
      <c r="M39" s="10" t="s">
        <v>78</v>
      </c>
    </row>
    <row r="40" spans="1:13" hidden="1">
      <c r="A40" t="s">
        <v>33</v>
      </c>
      <c r="B40">
        <v>2022</v>
      </c>
      <c r="C40" t="s">
        <v>37</v>
      </c>
      <c r="D40" s="3">
        <v>2230.4</v>
      </c>
      <c r="E40" s="3">
        <v>197.1</v>
      </c>
      <c r="F40" s="3">
        <v>489.2</v>
      </c>
      <c r="G40" s="3">
        <v>167</v>
      </c>
      <c r="H40" s="3">
        <v>170.5</v>
      </c>
      <c r="I40" s="3">
        <v>169</v>
      </c>
      <c r="J40" s="3">
        <v>164</v>
      </c>
      <c r="K40" s="3">
        <v>812.80000000000007</v>
      </c>
      <c r="L40" s="3">
        <v>169.2</v>
      </c>
      <c r="M40" s="10" t="s">
        <v>78</v>
      </c>
    </row>
    <row r="41" spans="1:13" hidden="1">
      <c r="A41" t="s">
        <v>34</v>
      </c>
      <c r="B41">
        <v>2022</v>
      </c>
      <c r="C41" t="s">
        <v>42</v>
      </c>
      <c r="D41" s="3">
        <v>2280.9</v>
      </c>
      <c r="E41" s="3">
        <v>195.9</v>
      </c>
      <c r="F41" s="3">
        <v>535.1</v>
      </c>
      <c r="G41" s="3">
        <v>169.5</v>
      </c>
      <c r="H41" s="3">
        <v>179.5</v>
      </c>
      <c r="I41" s="3">
        <v>177.8</v>
      </c>
      <c r="J41" s="3">
        <v>173.1</v>
      </c>
      <c r="K41" s="3">
        <v>840</v>
      </c>
      <c r="L41" s="3">
        <v>175.3</v>
      </c>
      <c r="M41" s="10" t="s">
        <v>67</v>
      </c>
    </row>
    <row r="42" spans="1:13" hidden="1">
      <c r="A42" t="s">
        <v>34</v>
      </c>
      <c r="B42">
        <v>2022</v>
      </c>
      <c r="C42" t="s">
        <v>43</v>
      </c>
      <c r="D42" s="3">
        <v>2297.3000000000002</v>
      </c>
      <c r="E42" s="3">
        <v>196.3</v>
      </c>
      <c r="F42" s="3">
        <v>538.20000000000005</v>
      </c>
      <c r="G42" s="3">
        <v>171.2</v>
      </c>
      <c r="H42" s="3">
        <v>180.5</v>
      </c>
      <c r="I42" s="3">
        <v>178.7</v>
      </c>
      <c r="J42" s="3">
        <v>173.4</v>
      </c>
      <c r="K42" s="3">
        <v>844.1</v>
      </c>
      <c r="L42" s="3">
        <v>176.7</v>
      </c>
      <c r="M42" s="10" t="s">
        <v>68</v>
      </c>
    </row>
    <row r="43" spans="1:13" hidden="1">
      <c r="A43" t="s">
        <v>34</v>
      </c>
      <c r="B43">
        <v>2022</v>
      </c>
      <c r="C43" t="s">
        <v>45</v>
      </c>
      <c r="D43" s="3">
        <v>2296.8000000000002</v>
      </c>
      <c r="E43" s="3">
        <v>196.9</v>
      </c>
      <c r="F43" s="3">
        <v>541.4</v>
      </c>
      <c r="G43" s="3">
        <v>171.8</v>
      </c>
      <c r="H43" s="3">
        <v>181.3</v>
      </c>
      <c r="I43" s="3">
        <v>179.8</v>
      </c>
      <c r="J43" s="3">
        <v>173.7</v>
      </c>
      <c r="K43" s="3">
        <v>847.6</v>
      </c>
      <c r="L43" s="3">
        <v>176.5</v>
      </c>
      <c r="M43" s="10" t="s">
        <v>69</v>
      </c>
    </row>
    <row r="44" spans="1:13">
      <c r="A44" t="s">
        <v>34</v>
      </c>
      <c r="B44">
        <v>2022</v>
      </c>
      <c r="C44" t="s">
        <v>38</v>
      </c>
      <c r="D44" s="3">
        <v>2238.9000000000005</v>
      </c>
      <c r="E44" s="3">
        <v>194.1</v>
      </c>
      <c r="F44" s="3">
        <v>518.6</v>
      </c>
      <c r="G44" s="3">
        <v>167.5</v>
      </c>
      <c r="H44" s="3">
        <v>174.6</v>
      </c>
      <c r="I44" s="3">
        <v>174.8</v>
      </c>
      <c r="J44" s="3">
        <v>167.9</v>
      </c>
      <c r="K44" s="3">
        <v>829.19999999999993</v>
      </c>
      <c r="L44" s="3">
        <v>171.7</v>
      </c>
      <c r="M44" s="10" t="s">
        <v>70</v>
      </c>
    </row>
    <row r="45" spans="1:13" hidden="1">
      <c r="A45" t="s">
        <v>34</v>
      </c>
      <c r="B45">
        <v>2022</v>
      </c>
      <c r="C45" t="s">
        <v>36</v>
      </c>
      <c r="D45" s="3">
        <v>2184.2000000000003</v>
      </c>
      <c r="E45" s="3">
        <v>193.7</v>
      </c>
      <c r="F45" s="3">
        <v>507.79999999999995</v>
      </c>
      <c r="G45" s="3">
        <v>165.3</v>
      </c>
      <c r="H45" s="3">
        <v>167.2</v>
      </c>
      <c r="I45" s="3">
        <v>173</v>
      </c>
      <c r="J45" s="3">
        <v>166</v>
      </c>
      <c r="K45" s="3">
        <v>815.80000000000007</v>
      </c>
      <c r="L45" s="3">
        <v>167.7</v>
      </c>
      <c r="M45" s="10" t="s">
        <v>71</v>
      </c>
    </row>
    <row r="46" spans="1:13" hidden="1">
      <c r="A46" t="s">
        <v>34</v>
      </c>
      <c r="B46">
        <v>2022</v>
      </c>
      <c r="C46" t="s">
        <v>39</v>
      </c>
      <c r="D46" s="3">
        <v>2261.9</v>
      </c>
      <c r="E46" s="3">
        <v>194.3</v>
      </c>
      <c r="F46" s="3">
        <v>523</v>
      </c>
      <c r="G46" s="3">
        <v>166.8</v>
      </c>
      <c r="H46" s="3">
        <v>176</v>
      </c>
      <c r="I46" s="3">
        <v>175.4</v>
      </c>
      <c r="J46" s="3">
        <v>169</v>
      </c>
      <c r="K46" s="3">
        <v>830.2</v>
      </c>
      <c r="L46" s="3">
        <v>172.6</v>
      </c>
      <c r="M46" s="10" t="s">
        <v>72</v>
      </c>
    </row>
    <row r="47" spans="1:13" hidden="1">
      <c r="A47" t="s">
        <v>34</v>
      </c>
      <c r="B47">
        <v>2022</v>
      </c>
      <c r="C47" t="s">
        <v>40</v>
      </c>
      <c r="D47" s="3">
        <v>2266.3000000000002</v>
      </c>
      <c r="E47" s="3">
        <v>194.6</v>
      </c>
      <c r="F47" s="3">
        <v>526.90000000000009</v>
      </c>
      <c r="G47" s="3">
        <v>167.8</v>
      </c>
      <c r="H47" s="3">
        <v>179.6</v>
      </c>
      <c r="I47" s="3">
        <v>176.1</v>
      </c>
      <c r="J47" s="3">
        <v>171.4</v>
      </c>
      <c r="K47" s="3">
        <v>833.4</v>
      </c>
      <c r="L47" s="3">
        <v>173.4</v>
      </c>
      <c r="M47" s="10" t="s">
        <v>73</v>
      </c>
    </row>
    <row r="48" spans="1:13" hidden="1">
      <c r="A48" t="s">
        <v>34</v>
      </c>
      <c r="B48">
        <v>2022</v>
      </c>
      <c r="C48" t="s">
        <v>31</v>
      </c>
      <c r="D48" s="3">
        <v>2164.1999999999998</v>
      </c>
      <c r="E48" s="3">
        <v>192.2</v>
      </c>
      <c r="F48" s="3">
        <v>499.1</v>
      </c>
      <c r="G48" s="3">
        <v>164.5</v>
      </c>
      <c r="H48" s="3">
        <v>164.2</v>
      </c>
      <c r="I48" s="3">
        <v>171.4</v>
      </c>
      <c r="J48" s="3">
        <v>164.7</v>
      </c>
      <c r="K48" s="3">
        <v>804.5</v>
      </c>
      <c r="L48" s="3">
        <v>165.7</v>
      </c>
      <c r="M48" s="10" t="s">
        <v>74</v>
      </c>
    </row>
    <row r="49" spans="1:13" hidden="1">
      <c r="A49" t="s">
        <v>34</v>
      </c>
      <c r="B49">
        <v>2022</v>
      </c>
      <c r="C49" t="s">
        <v>35</v>
      </c>
      <c r="D49" s="3">
        <v>2161.2000000000003</v>
      </c>
      <c r="E49" s="3">
        <v>192.8</v>
      </c>
      <c r="F49" s="3">
        <v>502.80000000000007</v>
      </c>
      <c r="G49" s="3">
        <v>165.5</v>
      </c>
      <c r="H49" s="3">
        <v>165.7</v>
      </c>
      <c r="I49" s="3">
        <v>172.2</v>
      </c>
      <c r="J49" s="3">
        <v>165.4</v>
      </c>
      <c r="K49" s="3">
        <v>808.7</v>
      </c>
      <c r="L49" s="3">
        <v>166.1</v>
      </c>
      <c r="M49" s="10" t="s">
        <v>75</v>
      </c>
    </row>
    <row r="50" spans="1:13" hidden="1">
      <c r="A50" t="s">
        <v>34</v>
      </c>
      <c r="B50">
        <v>2022</v>
      </c>
      <c r="C50" t="s">
        <v>46</v>
      </c>
      <c r="D50" s="3">
        <v>2283.4</v>
      </c>
      <c r="E50" s="3">
        <v>197.3</v>
      </c>
      <c r="F50" s="3">
        <v>544</v>
      </c>
      <c r="G50" s="3">
        <v>170.7</v>
      </c>
      <c r="H50" s="3">
        <v>182</v>
      </c>
      <c r="I50" s="3">
        <v>181.1</v>
      </c>
      <c r="J50" s="3">
        <v>174.1</v>
      </c>
      <c r="K50" s="3">
        <v>852.2</v>
      </c>
      <c r="L50" s="3">
        <v>175.7</v>
      </c>
      <c r="M50" s="10" t="s">
        <v>76</v>
      </c>
    </row>
    <row r="51" spans="1:13" hidden="1">
      <c r="A51" t="s">
        <v>34</v>
      </c>
      <c r="B51">
        <v>2022</v>
      </c>
      <c r="C51" t="s">
        <v>41</v>
      </c>
      <c r="D51" s="3">
        <v>2269.2000000000003</v>
      </c>
      <c r="E51" s="3">
        <v>195</v>
      </c>
      <c r="F51" s="3">
        <v>530.70000000000005</v>
      </c>
      <c r="G51" s="3">
        <v>169</v>
      </c>
      <c r="H51" s="3">
        <v>178.8</v>
      </c>
      <c r="I51" s="3">
        <v>176.8</v>
      </c>
      <c r="J51" s="3">
        <v>172.3</v>
      </c>
      <c r="K51" s="3">
        <v>837.6</v>
      </c>
      <c r="L51" s="3">
        <v>174.3</v>
      </c>
      <c r="M51" s="10" t="s">
        <v>77</v>
      </c>
    </row>
    <row r="52" spans="1:13" hidden="1">
      <c r="A52" t="s">
        <v>34</v>
      </c>
      <c r="B52">
        <v>2022</v>
      </c>
      <c r="C52" t="s">
        <v>37</v>
      </c>
      <c r="D52" s="3">
        <v>2214.3000000000002</v>
      </c>
      <c r="E52" s="3">
        <v>193.9</v>
      </c>
      <c r="F52" s="3">
        <v>513.20000000000005</v>
      </c>
      <c r="G52" s="3">
        <v>167</v>
      </c>
      <c r="H52" s="3">
        <v>172.2</v>
      </c>
      <c r="I52" s="3">
        <v>174</v>
      </c>
      <c r="J52" s="3">
        <v>166.9</v>
      </c>
      <c r="K52" s="3">
        <v>826.59999999999991</v>
      </c>
      <c r="L52" s="3">
        <v>170.1</v>
      </c>
      <c r="M52" s="10" t="s">
        <v>78</v>
      </c>
    </row>
    <row r="53" spans="1:13" hidden="1">
      <c r="A53" t="s">
        <v>30</v>
      </c>
      <c r="B53">
        <v>2021</v>
      </c>
      <c r="C53" t="s">
        <v>42</v>
      </c>
      <c r="D53" s="3">
        <v>2133.6</v>
      </c>
      <c r="E53" s="3">
        <v>190.5</v>
      </c>
      <c r="F53" s="3">
        <v>498.4</v>
      </c>
      <c r="G53" s="3">
        <v>161.4</v>
      </c>
      <c r="H53" s="3">
        <v>163.69999999999999</v>
      </c>
      <c r="I53" s="3">
        <v>171.9</v>
      </c>
      <c r="J53" s="3">
        <v>168.5</v>
      </c>
      <c r="K53" s="3">
        <v>805.8</v>
      </c>
      <c r="L53" s="3">
        <v>164</v>
      </c>
      <c r="M53" s="10" t="s">
        <v>79</v>
      </c>
    </row>
    <row r="54" spans="1:13" hidden="1">
      <c r="A54" t="s">
        <v>33</v>
      </c>
      <c r="B54">
        <v>2021</v>
      </c>
      <c r="C54" t="s">
        <v>42</v>
      </c>
      <c r="D54" s="3">
        <v>2157.9</v>
      </c>
      <c r="E54" s="3">
        <v>196.5</v>
      </c>
      <c r="F54" s="3">
        <v>460.79999999999995</v>
      </c>
      <c r="G54" s="3">
        <v>162.1</v>
      </c>
      <c r="H54" s="3">
        <v>160.80000000000001</v>
      </c>
      <c r="I54" s="3">
        <v>162.80000000000001</v>
      </c>
      <c r="J54" s="3">
        <v>160.30000000000001</v>
      </c>
      <c r="K54" s="3">
        <v>773.30000000000007</v>
      </c>
      <c r="L54" s="3">
        <v>162.30000000000001</v>
      </c>
      <c r="M54" s="10" t="s">
        <v>79</v>
      </c>
    </row>
    <row r="55" spans="1:13" hidden="1">
      <c r="A55" t="s">
        <v>30</v>
      </c>
      <c r="B55">
        <v>2021</v>
      </c>
      <c r="C55" t="s">
        <v>43</v>
      </c>
      <c r="D55" s="3">
        <v>2164.1999999999998</v>
      </c>
      <c r="E55" s="3">
        <v>191.2</v>
      </c>
      <c r="F55" s="3">
        <v>502.00000000000006</v>
      </c>
      <c r="G55" s="3">
        <v>161.4</v>
      </c>
      <c r="H55" s="3">
        <v>165.5</v>
      </c>
      <c r="I55" s="3">
        <v>172.5</v>
      </c>
      <c r="J55" s="3">
        <v>169</v>
      </c>
      <c r="K55" s="3">
        <v>810.5</v>
      </c>
      <c r="L55" s="3">
        <v>166.3</v>
      </c>
      <c r="M55" s="10" t="s">
        <v>80</v>
      </c>
    </row>
    <row r="56" spans="1:13" hidden="1">
      <c r="A56" t="s">
        <v>33</v>
      </c>
      <c r="B56">
        <v>2021</v>
      </c>
      <c r="C56" t="s">
        <v>43</v>
      </c>
      <c r="D56" s="3">
        <v>2198.4000000000005</v>
      </c>
      <c r="E56" s="3">
        <v>197</v>
      </c>
      <c r="F56" s="3">
        <v>463.50000000000006</v>
      </c>
      <c r="G56" s="3">
        <v>163.6</v>
      </c>
      <c r="H56" s="3">
        <v>162.19999999999999</v>
      </c>
      <c r="I56" s="3">
        <v>163.5</v>
      </c>
      <c r="J56" s="3">
        <v>160.30000000000001</v>
      </c>
      <c r="K56" s="3">
        <v>778.90000000000009</v>
      </c>
      <c r="L56" s="3">
        <v>164.6</v>
      </c>
      <c r="M56" s="10" t="s">
        <v>80</v>
      </c>
    </row>
    <row r="57" spans="1:13" hidden="1">
      <c r="A57" t="s">
        <v>30</v>
      </c>
      <c r="B57">
        <v>2021</v>
      </c>
      <c r="C57" t="s">
        <v>45</v>
      </c>
      <c r="D57" s="3">
        <v>2182</v>
      </c>
      <c r="E57" s="3">
        <v>191.4</v>
      </c>
      <c r="F57" s="3">
        <v>506.2</v>
      </c>
      <c r="G57" s="3">
        <v>161.4</v>
      </c>
      <c r="H57" s="3">
        <v>165.3</v>
      </c>
      <c r="I57" s="3">
        <v>173.4</v>
      </c>
      <c r="J57" s="3">
        <v>169.3</v>
      </c>
      <c r="K57" s="3">
        <v>813.2</v>
      </c>
      <c r="L57" s="3">
        <v>167.6</v>
      </c>
      <c r="M57" s="10" t="s">
        <v>81</v>
      </c>
    </row>
    <row r="58" spans="1:13" hidden="1">
      <c r="A58" t="s">
        <v>33</v>
      </c>
      <c r="B58">
        <v>2021</v>
      </c>
      <c r="C58" t="s">
        <v>45</v>
      </c>
      <c r="D58" s="3">
        <v>2217.8999999999996</v>
      </c>
      <c r="E58" s="3">
        <v>197</v>
      </c>
      <c r="F58" s="3">
        <v>467.3</v>
      </c>
      <c r="G58" s="3">
        <v>164.2</v>
      </c>
      <c r="H58" s="3">
        <v>161.6</v>
      </c>
      <c r="I58" s="3">
        <v>164.2</v>
      </c>
      <c r="J58" s="3">
        <v>160.80000000000001</v>
      </c>
      <c r="K58" s="3">
        <v>782.2</v>
      </c>
      <c r="L58" s="3">
        <v>165.6</v>
      </c>
      <c r="M58" s="10" t="s">
        <v>81</v>
      </c>
    </row>
    <row r="59" spans="1:13" hidden="1">
      <c r="A59" t="s">
        <v>30</v>
      </c>
      <c r="B59">
        <v>2021</v>
      </c>
      <c r="C59" t="s">
        <v>38</v>
      </c>
      <c r="D59" s="3">
        <v>2095.2999999999997</v>
      </c>
      <c r="E59" s="3">
        <v>189.6</v>
      </c>
      <c r="F59" s="3">
        <v>490.4</v>
      </c>
      <c r="G59" s="3">
        <v>161.4</v>
      </c>
      <c r="H59" s="3">
        <v>161.69999999999999</v>
      </c>
      <c r="I59" s="3">
        <v>169.1</v>
      </c>
      <c r="J59" s="3">
        <v>167.6</v>
      </c>
      <c r="K59" s="3">
        <v>792.4</v>
      </c>
      <c r="L59" s="3">
        <v>161.1</v>
      </c>
      <c r="M59" s="10" t="s">
        <v>82</v>
      </c>
    </row>
    <row r="60" spans="1:13" hidden="1">
      <c r="A60" t="s">
        <v>33</v>
      </c>
      <c r="B60">
        <v>2021</v>
      </c>
      <c r="C60" t="s">
        <v>38</v>
      </c>
      <c r="D60" s="3">
        <v>2124.7000000000003</v>
      </c>
      <c r="E60" s="3">
        <v>198.2</v>
      </c>
      <c r="F60" s="3">
        <v>450.79999999999995</v>
      </c>
      <c r="G60" s="3">
        <v>161.6</v>
      </c>
      <c r="H60" s="3">
        <v>155.5</v>
      </c>
      <c r="I60" s="3">
        <v>160.4</v>
      </c>
      <c r="J60" s="3">
        <v>156.6</v>
      </c>
      <c r="K60" s="3">
        <v>757.5</v>
      </c>
      <c r="L60" s="3">
        <v>159.5</v>
      </c>
      <c r="M60" s="10" t="s">
        <v>82</v>
      </c>
    </row>
    <row r="61" spans="1:13" hidden="1">
      <c r="A61" t="s">
        <v>30</v>
      </c>
      <c r="B61">
        <v>2021</v>
      </c>
      <c r="C61" t="s">
        <v>36</v>
      </c>
      <c r="D61" s="3">
        <v>2025.7</v>
      </c>
      <c r="E61" s="3">
        <v>186.1</v>
      </c>
      <c r="F61" s="3">
        <v>472.9</v>
      </c>
      <c r="G61" s="3">
        <v>161.4</v>
      </c>
      <c r="H61" s="3">
        <v>156</v>
      </c>
      <c r="I61" s="3">
        <v>164.6</v>
      </c>
      <c r="J61" s="3">
        <v>163.80000000000001</v>
      </c>
      <c r="K61" s="3">
        <v>774.3</v>
      </c>
      <c r="L61" s="3">
        <v>156.69999999999999</v>
      </c>
      <c r="M61" s="10" t="s">
        <v>83</v>
      </c>
    </row>
    <row r="62" spans="1:13" hidden="1">
      <c r="A62" t="s">
        <v>33</v>
      </c>
      <c r="B62">
        <v>2021</v>
      </c>
      <c r="C62" t="s">
        <v>36</v>
      </c>
      <c r="D62" s="3">
        <v>2064.4999999999995</v>
      </c>
      <c r="E62" s="3">
        <v>193.5</v>
      </c>
      <c r="F62" s="3">
        <v>446.4</v>
      </c>
      <c r="G62" s="3">
        <v>159.9</v>
      </c>
      <c r="H62" s="3">
        <v>154.80000000000001</v>
      </c>
      <c r="I62" s="3">
        <v>156.9</v>
      </c>
      <c r="J62" s="3">
        <v>157.6</v>
      </c>
      <c r="K62" s="3">
        <v>742.4</v>
      </c>
      <c r="L62" s="3">
        <v>156.9</v>
      </c>
      <c r="M62" s="10" t="s">
        <v>83</v>
      </c>
    </row>
    <row r="63" spans="1:13" hidden="1">
      <c r="A63" t="s">
        <v>30</v>
      </c>
      <c r="B63">
        <v>2021</v>
      </c>
      <c r="C63" t="s">
        <v>39</v>
      </c>
      <c r="D63" s="3">
        <v>2122.6</v>
      </c>
      <c r="E63" s="3">
        <v>189.1</v>
      </c>
      <c r="F63" s="3">
        <v>489.80000000000007</v>
      </c>
      <c r="G63" s="3">
        <v>161.4</v>
      </c>
      <c r="H63" s="3">
        <v>162.1</v>
      </c>
      <c r="I63" s="3">
        <v>169.7</v>
      </c>
      <c r="J63" s="3">
        <v>166.8</v>
      </c>
      <c r="K63" s="3">
        <v>794.69999999999993</v>
      </c>
      <c r="L63" s="3">
        <v>162.1</v>
      </c>
      <c r="M63" s="10" t="s">
        <v>84</v>
      </c>
    </row>
    <row r="64" spans="1:13" hidden="1">
      <c r="A64" t="s">
        <v>33</v>
      </c>
      <c r="B64">
        <v>2021</v>
      </c>
      <c r="C64" t="s">
        <v>39</v>
      </c>
      <c r="D64" s="3">
        <v>2154.1999999999998</v>
      </c>
      <c r="E64" s="3">
        <v>195.6</v>
      </c>
      <c r="F64" s="3">
        <v>452.6</v>
      </c>
      <c r="G64" s="3">
        <v>160.5</v>
      </c>
      <c r="H64" s="3">
        <v>156.1</v>
      </c>
      <c r="I64" s="3">
        <v>160.80000000000001</v>
      </c>
      <c r="J64" s="3">
        <v>158.1</v>
      </c>
      <c r="K64" s="3">
        <v>759.4</v>
      </c>
      <c r="L64" s="3">
        <v>160.4</v>
      </c>
      <c r="M64" s="10" t="s">
        <v>84</v>
      </c>
    </row>
    <row r="65" spans="1:13" hidden="1">
      <c r="A65" t="s">
        <v>30</v>
      </c>
      <c r="B65">
        <v>2021</v>
      </c>
      <c r="C65" t="s">
        <v>40</v>
      </c>
      <c r="D65" s="3">
        <v>2132.4</v>
      </c>
      <c r="E65" s="3">
        <v>189.7</v>
      </c>
      <c r="F65" s="3">
        <v>492.40000000000003</v>
      </c>
      <c r="G65" s="3">
        <v>161.4</v>
      </c>
      <c r="H65" s="3">
        <v>162.5</v>
      </c>
      <c r="I65" s="3">
        <v>170.4</v>
      </c>
      <c r="J65" s="3">
        <v>167.2</v>
      </c>
      <c r="K65" s="3">
        <v>801.3</v>
      </c>
      <c r="L65" s="3">
        <v>163.19999999999999</v>
      </c>
      <c r="M65" s="10" t="s">
        <v>85</v>
      </c>
    </row>
    <row r="66" spans="1:13" hidden="1">
      <c r="A66" t="s">
        <v>33</v>
      </c>
      <c r="B66">
        <v>2021</v>
      </c>
      <c r="C66" t="s">
        <v>40</v>
      </c>
      <c r="D66" s="3">
        <v>2171.8000000000002</v>
      </c>
      <c r="E66" s="3">
        <v>195.5</v>
      </c>
      <c r="F66" s="3">
        <v>455.3</v>
      </c>
      <c r="G66" s="3">
        <v>161.5</v>
      </c>
      <c r="H66" s="3">
        <v>157.69999999999999</v>
      </c>
      <c r="I66" s="3">
        <v>161.5</v>
      </c>
      <c r="J66" s="3">
        <v>160.30000000000001</v>
      </c>
      <c r="K66" s="3">
        <v>766</v>
      </c>
      <c r="L66" s="3">
        <v>161.80000000000001</v>
      </c>
      <c r="M66" s="10" t="s">
        <v>85</v>
      </c>
    </row>
    <row r="67" spans="1:13" hidden="1">
      <c r="A67" t="s">
        <v>30</v>
      </c>
      <c r="B67">
        <v>2021</v>
      </c>
      <c r="C67" t="s">
        <v>31</v>
      </c>
      <c r="D67" s="3">
        <v>2065.6999999999998</v>
      </c>
      <c r="E67" s="3">
        <v>184.6</v>
      </c>
      <c r="F67" s="3">
        <v>466.7</v>
      </c>
      <c r="G67" s="3">
        <v>161.4</v>
      </c>
      <c r="H67" s="3">
        <v>150.9</v>
      </c>
      <c r="I67" s="3">
        <v>162.5</v>
      </c>
      <c r="J67" s="3">
        <v>163.5</v>
      </c>
      <c r="K67" s="3">
        <v>768.6</v>
      </c>
      <c r="L67" s="3">
        <v>158.5</v>
      </c>
      <c r="M67" s="10" t="s">
        <v>86</v>
      </c>
    </row>
    <row r="68" spans="1:13" hidden="1">
      <c r="A68" t="s">
        <v>33</v>
      </c>
      <c r="B68">
        <v>2021</v>
      </c>
      <c r="C68" t="s">
        <v>31</v>
      </c>
      <c r="D68" s="3">
        <v>2097</v>
      </c>
      <c r="E68" s="3">
        <v>191.8</v>
      </c>
      <c r="F68" s="3">
        <v>440</v>
      </c>
      <c r="G68" s="3">
        <v>157.69999999999999</v>
      </c>
      <c r="H68" s="3">
        <v>142.9</v>
      </c>
      <c r="I68" s="3">
        <v>154.1</v>
      </c>
      <c r="J68" s="3">
        <v>156.1</v>
      </c>
      <c r="K68" s="3">
        <v>733.30000000000007</v>
      </c>
      <c r="L68" s="3">
        <v>156</v>
      </c>
      <c r="M68" s="10" t="s">
        <v>86</v>
      </c>
    </row>
    <row r="69" spans="1:13" hidden="1">
      <c r="A69" t="s">
        <v>30</v>
      </c>
      <c r="B69">
        <v>2021</v>
      </c>
      <c r="C69" t="s">
        <v>35</v>
      </c>
      <c r="D69" s="3">
        <v>2025.3</v>
      </c>
      <c r="E69" s="3">
        <v>186.5</v>
      </c>
      <c r="F69" s="3">
        <v>471.4</v>
      </c>
      <c r="G69" s="3">
        <v>161.4</v>
      </c>
      <c r="H69" s="3">
        <v>154.4</v>
      </c>
      <c r="I69" s="3">
        <v>164.3</v>
      </c>
      <c r="J69" s="3">
        <v>163.6</v>
      </c>
      <c r="K69" s="3">
        <v>774.40000000000009</v>
      </c>
      <c r="L69" s="3">
        <v>156.69999999999999</v>
      </c>
      <c r="M69" s="10" t="s">
        <v>87</v>
      </c>
    </row>
    <row r="70" spans="1:13" hidden="1">
      <c r="A70" t="s">
        <v>33</v>
      </c>
      <c r="B70">
        <v>2021</v>
      </c>
      <c r="C70" t="s">
        <v>35</v>
      </c>
      <c r="D70" s="3">
        <v>2066</v>
      </c>
      <c r="E70" s="3">
        <v>193.3</v>
      </c>
      <c r="F70" s="3">
        <v>444.2</v>
      </c>
      <c r="G70" s="3">
        <v>159.80000000000001</v>
      </c>
      <c r="H70" s="3">
        <v>149.1</v>
      </c>
      <c r="I70" s="3">
        <v>156.30000000000001</v>
      </c>
      <c r="J70" s="3">
        <v>156.6</v>
      </c>
      <c r="K70" s="3">
        <v>740.3</v>
      </c>
      <c r="L70" s="3">
        <v>156.5</v>
      </c>
      <c r="M70" s="10" t="s">
        <v>87</v>
      </c>
    </row>
    <row r="71" spans="1:13" hidden="1">
      <c r="A71" t="s">
        <v>30</v>
      </c>
      <c r="B71">
        <v>2021</v>
      </c>
      <c r="C71" t="s">
        <v>46</v>
      </c>
      <c r="D71" s="3">
        <v>2168.1999999999998</v>
      </c>
      <c r="E71" s="3">
        <v>190.8</v>
      </c>
      <c r="F71" s="3">
        <v>510.3</v>
      </c>
      <c r="G71" s="3">
        <v>161.4</v>
      </c>
      <c r="H71" s="3">
        <v>165.6</v>
      </c>
      <c r="I71" s="3">
        <v>174</v>
      </c>
      <c r="J71" s="3">
        <v>169.7</v>
      </c>
      <c r="K71" s="3">
        <v>817.3</v>
      </c>
      <c r="L71" s="3">
        <v>167</v>
      </c>
      <c r="M71" s="10" t="s">
        <v>88</v>
      </c>
    </row>
    <row r="72" spans="1:13" hidden="1">
      <c r="A72" t="s">
        <v>33</v>
      </c>
      <c r="B72">
        <v>2021</v>
      </c>
      <c r="C72" t="s">
        <v>46</v>
      </c>
      <c r="D72" s="3">
        <v>2206.3000000000002</v>
      </c>
      <c r="E72" s="3">
        <v>196.8</v>
      </c>
      <c r="F72" s="3">
        <v>470.7</v>
      </c>
      <c r="G72" s="3">
        <v>163.4</v>
      </c>
      <c r="H72" s="3">
        <v>161.69999999999999</v>
      </c>
      <c r="I72" s="3">
        <v>165.1</v>
      </c>
      <c r="J72" s="3">
        <v>160.6</v>
      </c>
      <c r="K72" s="3">
        <v>785.59999999999991</v>
      </c>
      <c r="L72" s="3">
        <v>165.2</v>
      </c>
      <c r="M72" s="10" t="s">
        <v>88</v>
      </c>
    </row>
    <row r="73" spans="1:13" hidden="1">
      <c r="A73" t="s">
        <v>30</v>
      </c>
      <c r="B73">
        <v>2021</v>
      </c>
      <c r="C73" t="s">
        <v>41</v>
      </c>
      <c r="D73" s="3">
        <v>2130.8000000000002</v>
      </c>
      <c r="E73" s="3">
        <v>190.2</v>
      </c>
      <c r="F73" s="3">
        <v>495.90000000000003</v>
      </c>
      <c r="G73" s="3">
        <v>161.4</v>
      </c>
      <c r="H73" s="3">
        <v>163.1</v>
      </c>
      <c r="I73" s="3">
        <v>171.1</v>
      </c>
      <c r="J73" s="3">
        <v>167.5</v>
      </c>
      <c r="K73" s="3">
        <v>803.3</v>
      </c>
      <c r="L73" s="3">
        <v>163.6</v>
      </c>
      <c r="M73" s="10" t="s">
        <v>89</v>
      </c>
    </row>
    <row r="74" spans="1:13" hidden="1">
      <c r="A74" t="s">
        <v>33</v>
      </c>
      <c r="B74">
        <v>2021</v>
      </c>
      <c r="C74" t="s">
        <v>41</v>
      </c>
      <c r="D74" s="3">
        <v>2157.9</v>
      </c>
      <c r="E74" s="3">
        <v>196.5</v>
      </c>
      <c r="F74" s="3">
        <v>460.7</v>
      </c>
      <c r="G74" s="3">
        <v>162.1</v>
      </c>
      <c r="H74" s="3">
        <v>160.69999999999999</v>
      </c>
      <c r="I74" s="3">
        <v>162.80000000000001</v>
      </c>
      <c r="J74" s="3">
        <v>160.4</v>
      </c>
      <c r="K74" s="3">
        <v>772.9</v>
      </c>
      <c r="L74" s="3">
        <v>162.30000000000001</v>
      </c>
      <c r="M74" s="10" t="s">
        <v>89</v>
      </c>
    </row>
    <row r="75" spans="1:13" hidden="1">
      <c r="A75" t="s">
        <v>30</v>
      </c>
      <c r="B75">
        <v>2021</v>
      </c>
      <c r="C75" t="s">
        <v>37</v>
      </c>
      <c r="D75" s="3">
        <v>2049.5</v>
      </c>
      <c r="E75" s="3">
        <v>186.8</v>
      </c>
      <c r="F75" s="3">
        <v>475.69999999999993</v>
      </c>
      <c r="G75" s="3">
        <v>161.4</v>
      </c>
      <c r="H75" s="3">
        <v>156</v>
      </c>
      <c r="I75" s="3">
        <v>165.3</v>
      </c>
      <c r="J75" s="3">
        <v>164.1</v>
      </c>
      <c r="K75" s="3">
        <v>778.4</v>
      </c>
      <c r="L75" s="3">
        <v>157.6</v>
      </c>
      <c r="M75" s="10" t="s">
        <v>90</v>
      </c>
    </row>
    <row r="76" spans="1:13" hidden="1">
      <c r="A76" t="s">
        <v>33</v>
      </c>
      <c r="B76">
        <v>2021</v>
      </c>
      <c r="C76" t="s">
        <v>37</v>
      </c>
      <c r="D76" s="3">
        <v>2089.6</v>
      </c>
      <c r="E76" s="3">
        <v>194.4</v>
      </c>
      <c r="F76" s="3">
        <v>448.6</v>
      </c>
      <c r="G76" s="3">
        <v>161.4</v>
      </c>
      <c r="H76" s="3">
        <v>154.9</v>
      </c>
      <c r="I76" s="3">
        <v>157.5</v>
      </c>
      <c r="J76" s="3">
        <v>157.6</v>
      </c>
      <c r="K76" s="3">
        <v>745.9</v>
      </c>
      <c r="L76" s="3">
        <v>158</v>
      </c>
      <c r="M76" s="10" t="s">
        <v>90</v>
      </c>
    </row>
    <row r="77" spans="1:13" hidden="1">
      <c r="A77" t="s">
        <v>34</v>
      </c>
      <c r="B77">
        <v>2021</v>
      </c>
      <c r="C77" t="s">
        <v>42</v>
      </c>
      <c r="D77" s="3">
        <v>2142</v>
      </c>
      <c r="E77" s="3">
        <v>192.1</v>
      </c>
      <c r="F77" s="3">
        <v>483.2</v>
      </c>
      <c r="G77" s="3">
        <v>162.1</v>
      </c>
      <c r="H77" s="3">
        <v>162.6</v>
      </c>
      <c r="I77" s="3">
        <v>168.4</v>
      </c>
      <c r="J77" s="3">
        <v>163.69999999999999</v>
      </c>
      <c r="K77" s="3">
        <v>789.2</v>
      </c>
      <c r="L77" s="3">
        <v>163.19999999999999</v>
      </c>
      <c r="M77" s="10" t="s">
        <v>79</v>
      </c>
    </row>
    <row r="78" spans="1:13" hidden="1">
      <c r="A78" t="s">
        <v>34</v>
      </c>
      <c r="B78">
        <v>2021</v>
      </c>
      <c r="C78" t="s">
        <v>43</v>
      </c>
      <c r="D78" s="3">
        <v>2175.5</v>
      </c>
      <c r="E78" s="3">
        <v>192.7</v>
      </c>
      <c r="F78" s="3">
        <v>486.3</v>
      </c>
      <c r="G78" s="3">
        <v>163.6</v>
      </c>
      <c r="H78" s="3">
        <v>164.2</v>
      </c>
      <c r="I78" s="3">
        <v>169.1</v>
      </c>
      <c r="J78" s="3">
        <v>163.9</v>
      </c>
      <c r="K78" s="3">
        <v>794.5</v>
      </c>
      <c r="L78" s="3">
        <v>165.5</v>
      </c>
      <c r="M78" s="10" t="s">
        <v>80</v>
      </c>
    </row>
    <row r="79" spans="1:13" hidden="1">
      <c r="A79" t="s">
        <v>34</v>
      </c>
      <c r="B79">
        <v>2021</v>
      </c>
      <c r="C79" t="s">
        <v>45</v>
      </c>
      <c r="D79" s="3">
        <v>2194.1</v>
      </c>
      <c r="E79" s="3">
        <v>192.9</v>
      </c>
      <c r="F79" s="3">
        <v>490.40000000000003</v>
      </c>
      <c r="G79" s="3">
        <v>164.2</v>
      </c>
      <c r="H79" s="3">
        <v>163.9</v>
      </c>
      <c r="I79" s="3">
        <v>169.9</v>
      </c>
      <c r="J79" s="3">
        <v>164.3</v>
      </c>
      <c r="K79" s="3">
        <v>797.5</v>
      </c>
      <c r="L79" s="3">
        <v>166.7</v>
      </c>
      <c r="M79" s="10" t="s">
        <v>81</v>
      </c>
    </row>
    <row r="80" spans="1:13" hidden="1">
      <c r="A80" t="s">
        <v>34</v>
      </c>
      <c r="B80">
        <v>2021</v>
      </c>
      <c r="C80" t="s">
        <v>38</v>
      </c>
      <c r="D80" s="3">
        <v>2105.7000000000003</v>
      </c>
      <c r="E80" s="3">
        <v>191.9</v>
      </c>
      <c r="F80" s="3">
        <v>474.29999999999995</v>
      </c>
      <c r="G80" s="3">
        <v>161.6</v>
      </c>
      <c r="H80" s="3">
        <v>159.4</v>
      </c>
      <c r="I80" s="3">
        <v>165.8</v>
      </c>
      <c r="J80" s="3">
        <v>161.19999999999999</v>
      </c>
      <c r="K80" s="3">
        <v>774.8</v>
      </c>
      <c r="L80" s="3">
        <v>160.4</v>
      </c>
      <c r="M80" s="10" t="s">
        <v>82</v>
      </c>
    </row>
    <row r="81" spans="1:13" hidden="1">
      <c r="A81" t="s">
        <v>34</v>
      </c>
      <c r="B81">
        <v>2021</v>
      </c>
      <c r="C81" t="s">
        <v>36</v>
      </c>
      <c r="D81" s="3">
        <v>2039.3999999999999</v>
      </c>
      <c r="E81" s="3">
        <v>188.1</v>
      </c>
      <c r="F81" s="3">
        <v>462.1</v>
      </c>
      <c r="G81" s="3">
        <v>159.9</v>
      </c>
      <c r="H81" s="3">
        <v>155.5</v>
      </c>
      <c r="I81" s="3">
        <v>161.69999999999999</v>
      </c>
      <c r="J81" s="3">
        <v>160.19999999999999</v>
      </c>
      <c r="K81" s="3">
        <v>757.59999999999991</v>
      </c>
      <c r="L81" s="3">
        <v>156.80000000000001</v>
      </c>
      <c r="M81" s="10" t="s">
        <v>83</v>
      </c>
    </row>
    <row r="82" spans="1:13" hidden="1">
      <c r="A82" t="s">
        <v>34</v>
      </c>
      <c r="B82">
        <v>2021</v>
      </c>
      <c r="C82" t="s">
        <v>39</v>
      </c>
      <c r="D82" s="3">
        <v>2133.9</v>
      </c>
      <c r="E82" s="3">
        <v>190.8</v>
      </c>
      <c r="F82" s="3">
        <v>474.7</v>
      </c>
      <c r="G82" s="3">
        <v>160.5</v>
      </c>
      <c r="H82" s="3">
        <v>159.80000000000001</v>
      </c>
      <c r="I82" s="3">
        <v>166.3</v>
      </c>
      <c r="J82" s="3">
        <v>161.69999999999999</v>
      </c>
      <c r="K82" s="3">
        <v>776.80000000000007</v>
      </c>
      <c r="L82" s="3">
        <v>161.30000000000001</v>
      </c>
      <c r="M82" s="10" t="s">
        <v>84</v>
      </c>
    </row>
    <row r="83" spans="1:13" hidden="1">
      <c r="A83" t="s">
        <v>34</v>
      </c>
      <c r="B83">
        <v>2021</v>
      </c>
      <c r="C83" t="s">
        <v>40</v>
      </c>
      <c r="D83" s="3">
        <v>2147</v>
      </c>
      <c r="E83" s="3">
        <v>191.2</v>
      </c>
      <c r="F83" s="3">
        <v>477.29999999999995</v>
      </c>
      <c r="G83" s="3">
        <v>161.5</v>
      </c>
      <c r="H83" s="3">
        <v>160.69999999999999</v>
      </c>
      <c r="I83" s="3">
        <v>167</v>
      </c>
      <c r="J83" s="3">
        <v>163.19999999999999</v>
      </c>
      <c r="K83" s="3">
        <v>783.3</v>
      </c>
      <c r="L83" s="3">
        <v>162.5</v>
      </c>
      <c r="M83" s="10" t="s">
        <v>85</v>
      </c>
    </row>
    <row r="84" spans="1:13" hidden="1">
      <c r="A84" t="s">
        <v>34</v>
      </c>
      <c r="B84">
        <v>2021</v>
      </c>
      <c r="C84" t="s">
        <v>31</v>
      </c>
      <c r="D84" s="3">
        <v>2076.5</v>
      </c>
      <c r="E84" s="3">
        <v>186.5</v>
      </c>
      <c r="F84" s="3">
        <v>455.8</v>
      </c>
      <c r="G84" s="3">
        <v>157.69999999999999</v>
      </c>
      <c r="H84" s="3">
        <v>147.9</v>
      </c>
      <c r="I84" s="3">
        <v>159.30000000000001</v>
      </c>
      <c r="J84" s="3">
        <v>159.19999999999999</v>
      </c>
      <c r="K84" s="3">
        <v>750.19999999999993</v>
      </c>
      <c r="L84" s="3">
        <v>157.30000000000001</v>
      </c>
      <c r="M84" s="10" t="s">
        <v>86</v>
      </c>
    </row>
    <row r="85" spans="1:13" hidden="1">
      <c r="A85" t="s">
        <v>34</v>
      </c>
      <c r="B85">
        <v>2021</v>
      </c>
      <c r="C85" t="s">
        <v>35</v>
      </c>
      <c r="D85" s="3">
        <v>2039.3000000000002</v>
      </c>
      <c r="E85" s="3">
        <v>188.3</v>
      </c>
      <c r="F85" s="3">
        <v>460.40000000000003</v>
      </c>
      <c r="G85" s="3">
        <v>159.80000000000001</v>
      </c>
      <c r="H85" s="3">
        <v>152.4</v>
      </c>
      <c r="I85" s="3">
        <v>161.30000000000001</v>
      </c>
      <c r="J85" s="3">
        <v>159.5</v>
      </c>
      <c r="K85" s="3">
        <v>756.69999999999993</v>
      </c>
      <c r="L85" s="3">
        <v>156.6</v>
      </c>
      <c r="M85" s="10" t="s">
        <v>87</v>
      </c>
    </row>
    <row r="86" spans="1:13" hidden="1">
      <c r="A86" t="s">
        <v>34</v>
      </c>
      <c r="B86">
        <v>2021</v>
      </c>
      <c r="C86" t="s">
        <v>46</v>
      </c>
      <c r="D86" s="3">
        <v>2180.9</v>
      </c>
      <c r="E86" s="3">
        <v>192.4</v>
      </c>
      <c r="F86" s="3">
        <v>494.2</v>
      </c>
      <c r="G86" s="3">
        <v>163.4</v>
      </c>
      <c r="H86" s="3">
        <v>164.1</v>
      </c>
      <c r="I86" s="3">
        <v>170.6</v>
      </c>
      <c r="J86" s="3">
        <v>164.4</v>
      </c>
      <c r="K86" s="3">
        <v>801.1</v>
      </c>
      <c r="L86" s="3">
        <v>166.2</v>
      </c>
      <c r="M86" s="10" t="s">
        <v>88</v>
      </c>
    </row>
    <row r="87" spans="1:13" hidden="1">
      <c r="A87" t="s">
        <v>34</v>
      </c>
      <c r="B87">
        <v>2021</v>
      </c>
      <c r="C87" t="s">
        <v>41</v>
      </c>
      <c r="D87" s="3">
        <v>2142</v>
      </c>
      <c r="E87" s="3">
        <v>192.1</v>
      </c>
      <c r="F87" s="3">
        <v>483</v>
      </c>
      <c r="G87" s="3">
        <v>162.1</v>
      </c>
      <c r="H87" s="3">
        <v>162.6</v>
      </c>
      <c r="I87" s="3">
        <v>168.4</v>
      </c>
      <c r="J87" s="3">
        <v>163.80000000000001</v>
      </c>
      <c r="K87" s="3">
        <v>789.1</v>
      </c>
      <c r="L87" s="3">
        <v>163.19999999999999</v>
      </c>
      <c r="M87" s="10" t="s">
        <v>89</v>
      </c>
    </row>
    <row r="88" spans="1:13" hidden="1">
      <c r="A88" t="s">
        <v>34</v>
      </c>
      <c r="B88">
        <v>2021</v>
      </c>
      <c r="C88" t="s">
        <v>37</v>
      </c>
      <c r="D88" s="3">
        <v>2064.1</v>
      </c>
      <c r="E88" s="3">
        <v>188.8</v>
      </c>
      <c r="F88" s="3">
        <v>464.6</v>
      </c>
      <c r="G88" s="3">
        <v>161.4</v>
      </c>
      <c r="H88" s="3">
        <v>155.6</v>
      </c>
      <c r="I88" s="3">
        <v>162.30000000000001</v>
      </c>
      <c r="J88" s="3">
        <v>160.30000000000001</v>
      </c>
      <c r="K88" s="3">
        <v>761.4</v>
      </c>
      <c r="L88" s="3">
        <v>157.80000000000001</v>
      </c>
      <c r="M88" s="10" t="s">
        <v>90</v>
      </c>
    </row>
    <row r="89" spans="1:13" hidden="1">
      <c r="A89" t="s">
        <v>30</v>
      </c>
      <c r="B89">
        <v>2020</v>
      </c>
      <c r="C89" t="s">
        <v>42</v>
      </c>
      <c r="D89" s="3">
        <v>1987.3999999999999</v>
      </c>
      <c r="E89" s="3">
        <v>182.9</v>
      </c>
      <c r="F89" s="3">
        <v>459.9</v>
      </c>
      <c r="G89" s="3">
        <v>155.69999999999999</v>
      </c>
      <c r="H89" s="3">
        <v>146.4</v>
      </c>
      <c r="I89" s="3">
        <v>159.1</v>
      </c>
      <c r="J89" s="3">
        <v>161.1</v>
      </c>
      <c r="K89" s="3">
        <v>760.09999999999991</v>
      </c>
      <c r="L89" s="3">
        <v>155.4</v>
      </c>
      <c r="M89" s="10" t="s">
        <v>91</v>
      </c>
    </row>
    <row r="90" spans="1:13" hidden="1">
      <c r="A90" t="s">
        <v>33</v>
      </c>
      <c r="B90">
        <v>2020</v>
      </c>
      <c r="C90" t="s">
        <v>42</v>
      </c>
      <c r="D90" s="3">
        <v>2041.6000000000001</v>
      </c>
      <c r="E90" s="3">
        <v>188.7</v>
      </c>
      <c r="F90" s="3">
        <v>434.6</v>
      </c>
      <c r="G90" s="3">
        <v>156.30000000000001</v>
      </c>
      <c r="H90" s="3">
        <v>137.19999999999999</v>
      </c>
      <c r="I90" s="3">
        <v>150</v>
      </c>
      <c r="J90" s="3">
        <v>154.9</v>
      </c>
      <c r="K90" s="3">
        <v>728.1</v>
      </c>
      <c r="L90" s="3">
        <v>154</v>
      </c>
      <c r="M90" s="10" t="s">
        <v>91</v>
      </c>
    </row>
    <row r="91" spans="1:13" hidden="1">
      <c r="A91" t="s">
        <v>30</v>
      </c>
      <c r="B91">
        <v>2020</v>
      </c>
      <c r="C91" t="s">
        <v>43</v>
      </c>
      <c r="D91" s="3">
        <v>2030.9</v>
      </c>
      <c r="E91" s="3">
        <v>182.7</v>
      </c>
      <c r="F91" s="3">
        <v>461.29999999999995</v>
      </c>
      <c r="G91" s="3">
        <v>155.69999999999999</v>
      </c>
      <c r="H91" s="3">
        <v>146.80000000000001</v>
      </c>
      <c r="I91" s="3">
        <v>159.5</v>
      </c>
      <c r="J91" s="3">
        <v>162.5</v>
      </c>
      <c r="K91" s="3">
        <v>761.3</v>
      </c>
      <c r="L91" s="3">
        <v>157.5</v>
      </c>
      <c r="M91" s="10" t="s">
        <v>92</v>
      </c>
    </row>
    <row r="92" spans="1:13" hidden="1">
      <c r="A92" t="s">
        <v>33</v>
      </c>
      <c r="B92">
        <v>2020</v>
      </c>
      <c r="C92" t="s">
        <v>43</v>
      </c>
      <c r="D92" s="3">
        <v>2080.1999999999998</v>
      </c>
      <c r="E92" s="3">
        <v>188.7</v>
      </c>
      <c r="F92" s="3">
        <v>434.90000000000003</v>
      </c>
      <c r="G92" s="3">
        <v>156.5</v>
      </c>
      <c r="H92" s="3">
        <v>137.1</v>
      </c>
      <c r="I92" s="3">
        <v>151</v>
      </c>
      <c r="J92" s="3">
        <v>155.69999999999999</v>
      </c>
      <c r="K92" s="3">
        <v>726.8</v>
      </c>
      <c r="L92" s="3">
        <v>155.19999999999999</v>
      </c>
      <c r="M92" s="10" t="s">
        <v>92</v>
      </c>
    </row>
    <row r="93" spans="1:13" hidden="1">
      <c r="A93" t="s">
        <v>30</v>
      </c>
      <c r="B93">
        <v>2020</v>
      </c>
      <c r="C93" t="s">
        <v>45</v>
      </c>
      <c r="D93" s="3">
        <v>2082.4</v>
      </c>
      <c r="E93" s="3">
        <v>183.4</v>
      </c>
      <c r="F93" s="3">
        <v>462.8</v>
      </c>
      <c r="G93" s="3">
        <v>155.69999999999999</v>
      </c>
      <c r="H93" s="3">
        <v>147.5</v>
      </c>
      <c r="I93" s="3">
        <v>160.4</v>
      </c>
      <c r="J93" s="3">
        <v>161.6</v>
      </c>
      <c r="K93" s="3">
        <v>763.2</v>
      </c>
      <c r="L93" s="3">
        <v>159.80000000000001</v>
      </c>
      <c r="M93" s="10" t="s">
        <v>93</v>
      </c>
    </row>
    <row r="94" spans="1:13" hidden="1">
      <c r="A94" t="s">
        <v>33</v>
      </c>
      <c r="B94">
        <v>2020</v>
      </c>
      <c r="C94" t="s">
        <v>45</v>
      </c>
      <c r="D94" s="3">
        <v>2120.6999999999998</v>
      </c>
      <c r="E94" s="3">
        <v>188.8</v>
      </c>
      <c r="F94" s="3">
        <v>436.3</v>
      </c>
      <c r="G94" s="3">
        <v>158</v>
      </c>
      <c r="H94" s="3">
        <v>137.30000000000001</v>
      </c>
      <c r="I94" s="3">
        <v>152</v>
      </c>
      <c r="J94" s="3">
        <v>156.4</v>
      </c>
      <c r="K94" s="3">
        <v>729.19999999999993</v>
      </c>
      <c r="L94" s="3">
        <v>156.69999999999999</v>
      </c>
      <c r="M94" s="10" t="s">
        <v>93</v>
      </c>
    </row>
    <row r="95" spans="1:13" hidden="1">
      <c r="A95" t="s">
        <v>30</v>
      </c>
      <c r="B95">
        <v>2020</v>
      </c>
      <c r="C95" t="s">
        <v>38</v>
      </c>
      <c r="D95" s="3">
        <v>1825.268172730908</v>
      </c>
      <c r="E95" s="3">
        <v>155.38579234972681</v>
      </c>
      <c r="F95" s="3">
        <v>420.31098360655722</v>
      </c>
      <c r="G95" s="3">
        <v>155.69999999999999</v>
      </c>
      <c r="H95" s="3">
        <v>136.51</v>
      </c>
      <c r="I95" s="3">
        <v>138.51</v>
      </c>
      <c r="J95" s="3">
        <v>141.13</v>
      </c>
      <c r="K95" s="3">
        <v>665.32</v>
      </c>
      <c r="L95" s="3">
        <v>139.56</v>
      </c>
      <c r="M95" s="10" t="s">
        <v>94</v>
      </c>
    </row>
    <row r="96" spans="1:13" hidden="1">
      <c r="A96" t="s">
        <v>33</v>
      </c>
      <c r="B96">
        <v>2020</v>
      </c>
      <c r="C96" t="s">
        <v>38</v>
      </c>
      <c r="D96" s="3">
        <v>1825.268172730908</v>
      </c>
      <c r="E96" s="3">
        <v>155.38579234972681</v>
      </c>
      <c r="F96" s="3">
        <v>420.31098360655722</v>
      </c>
      <c r="G96" s="3">
        <v>155.69999999999999</v>
      </c>
      <c r="H96" s="3">
        <v>136.51</v>
      </c>
      <c r="I96" s="3">
        <v>138.51</v>
      </c>
      <c r="J96" s="3">
        <v>141.13</v>
      </c>
      <c r="K96" s="3">
        <v>665.32</v>
      </c>
      <c r="L96" s="3">
        <v>139.56</v>
      </c>
      <c r="M96" s="10" t="s">
        <v>94</v>
      </c>
    </row>
    <row r="97" spans="1:13" hidden="1">
      <c r="A97" t="s">
        <v>30</v>
      </c>
      <c r="B97">
        <v>2020</v>
      </c>
      <c r="C97" t="s">
        <v>36</v>
      </c>
      <c r="D97" s="3">
        <v>1894.5999999999997</v>
      </c>
      <c r="E97" s="3">
        <v>170.5</v>
      </c>
      <c r="F97" s="3">
        <v>453.5</v>
      </c>
      <c r="G97" s="3">
        <v>155.69999999999999</v>
      </c>
      <c r="H97" s="3">
        <v>153.4</v>
      </c>
      <c r="I97" s="3">
        <v>156.69999999999999</v>
      </c>
      <c r="J97" s="3">
        <v>161.19999999999999</v>
      </c>
      <c r="K97" s="3">
        <v>732.2</v>
      </c>
      <c r="L97" s="3">
        <v>149.80000000000001</v>
      </c>
      <c r="M97" s="10" t="s">
        <v>95</v>
      </c>
    </row>
    <row r="98" spans="1:13" hidden="1">
      <c r="A98" t="s">
        <v>33</v>
      </c>
      <c r="B98">
        <v>2020</v>
      </c>
      <c r="C98" t="s">
        <v>36</v>
      </c>
      <c r="D98" s="3">
        <v>1898.5</v>
      </c>
      <c r="E98" s="3">
        <v>173.3</v>
      </c>
      <c r="F98" s="3">
        <v>427.1</v>
      </c>
      <c r="G98" s="3">
        <v>154.5</v>
      </c>
      <c r="H98" s="3">
        <v>141.4</v>
      </c>
      <c r="I98" s="3">
        <v>145</v>
      </c>
      <c r="J98" s="3">
        <v>152.5</v>
      </c>
      <c r="K98" s="3">
        <v>687.3</v>
      </c>
      <c r="L98" s="3">
        <v>147.30000000000001</v>
      </c>
      <c r="M98" s="10" t="s">
        <v>95</v>
      </c>
    </row>
    <row r="99" spans="1:13" hidden="1">
      <c r="A99" t="s">
        <v>30</v>
      </c>
      <c r="B99">
        <v>2020</v>
      </c>
      <c r="C99" t="s">
        <v>39</v>
      </c>
      <c r="D99" s="3">
        <v>1951</v>
      </c>
      <c r="E99" s="3">
        <v>182.4</v>
      </c>
      <c r="F99" s="3">
        <v>458.79999999999995</v>
      </c>
      <c r="G99" s="3">
        <v>155.69999999999999</v>
      </c>
      <c r="H99" s="3">
        <v>144.9</v>
      </c>
      <c r="I99" s="3">
        <v>158.19999999999999</v>
      </c>
      <c r="J99" s="3">
        <v>161.80000000000001</v>
      </c>
      <c r="K99" s="3">
        <v>749.2</v>
      </c>
      <c r="L99" s="3">
        <v>152.69999999999999</v>
      </c>
      <c r="M99" s="10" t="s">
        <v>96</v>
      </c>
    </row>
    <row r="100" spans="1:13" hidden="1">
      <c r="A100" t="s">
        <v>33</v>
      </c>
      <c r="B100">
        <v>2020</v>
      </c>
      <c r="C100" t="s">
        <v>39</v>
      </c>
      <c r="D100" s="3">
        <v>1994.9999999999998</v>
      </c>
      <c r="E100" s="3">
        <v>186.7</v>
      </c>
      <c r="F100" s="3">
        <v>432.9</v>
      </c>
      <c r="G100" s="3">
        <v>154.69999999999999</v>
      </c>
      <c r="H100" s="3">
        <v>137.1</v>
      </c>
      <c r="I100" s="3">
        <v>148.1</v>
      </c>
      <c r="J100" s="3">
        <v>152.5</v>
      </c>
      <c r="K100" s="3">
        <v>708.40000000000009</v>
      </c>
      <c r="L100" s="3">
        <v>150.80000000000001</v>
      </c>
      <c r="M100" s="10" t="s">
        <v>96</v>
      </c>
    </row>
    <row r="101" spans="1:13" hidden="1">
      <c r="A101" t="s">
        <v>30</v>
      </c>
      <c r="B101">
        <v>2020</v>
      </c>
      <c r="C101" t="s">
        <v>40</v>
      </c>
      <c r="D101" s="3">
        <v>1951</v>
      </c>
      <c r="E101" s="3">
        <v>182.4</v>
      </c>
      <c r="F101" s="3">
        <v>458.79999999999995</v>
      </c>
      <c r="G101" s="3">
        <v>155.69999999999999</v>
      </c>
      <c r="H101" s="3">
        <v>144.9</v>
      </c>
      <c r="I101" s="3">
        <v>158.19999999999999</v>
      </c>
      <c r="J101" s="3">
        <v>161.80000000000001</v>
      </c>
      <c r="K101" s="3">
        <v>749.2</v>
      </c>
      <c r="L101" s="3">
        <v>152.69999999999999</v>
      </c>
      <c r="M101" s="10" t="s">
        <v>97</v>
      </c>
    </row>
    <row r="102" spans="1:13" hidden="1">
      <c r="A102" t="s">
        <v>33</v>
      </c>
      <c r="B102">
        <v>2020</v>
      </c>
      <c r="C102" t="s">
        <v>40</v>
      </c>
      <c r="D102" s="3">
        <v>1994.9999999999998</v>
      </c>
      <c r="E102" s="3">
        <v>186.7</v>
      </c>
      <c r="F102" s="3">
        <v>432.9</v>
      </c>
      <c r="G102" s="3">
        <v>154.69999999999999</v>
      </c>
      <c r="H102" s="3">
        <v>137.1</v>
      </c>
      <c r="I102" s="3">
        <v>148.1</v>
      </c>
      <c r="J102" s="3">
        <v>152.5</v>
      </c>
      <c r="K102" s="3">
        <v>708.40000000000009</v>
      </c>
      <c r="L102" s="3">
        <v>150.80000000000001</v>
      </c>
      <c r="M102" s="10" t="s">
        <v>97</v>
      </c>
    </row>
    <row r="103" spans="1:13" hidden="1">
      <c r="A103" t="s">
        <v>30</v>
      </c>
      <c r="B103">
        <v>2020</v>
      </c>
      <c r="C103" t="s">
        <v>31</v>
      </c>
      <c r="D103" s="3">
        <v>1938.6</v>
      </c>
      <c r="E103" s="3">
        <v>168.6</v>
      </c>
      <c r="F103" s="3">
        <v>452.30000000000007</v>
      </c>
      <c r="G103" s="3">
        <v>155.69999999999999</v>
      </c>
      <c r="H103" s="3">
        <v>150.4</v>
      </c>
      <c r="I103" s="3">
        <v>155.69999999999999</v>
      </c>
      <c r="J103" s="3">
        <v>161.69999999999999</v>
      </c>
      <c r="K103" s="3">
        <v>728.7</v>
      </c>
      <c r="L103" s="3">
        <v>151.9</v>
      </c>
      <c r="M103" s="10" t="s">
        <v>98</v>
      </c>
    </row>
    <row r="104" spans="1:13" hidden="1">
      <c r="A104" t="s">
        <v>33</v>
      </c>
      <c r="B104">
        <v>2020</v>
      </c>
      <c r="C104" t="s">
        <v>31</v>
      </c>
      <c r="D104" s="3">
        <v>1945.3999999999999</v>
      </c>
      <c r="E104" s="3">
        <v>170.8</v>
      </c>
      <c r="F104" s="3">
        <v>425.1</v>
      </c>
      <c r="G104" s="3">
        <v>153.9</v>
      </c>
      <c r="H104" s="3">
        <v>135.1</v>
      </c>
      <c r="I104" s="3">
        <v>143.80000000000001</v>
      </c>
      <c r="J104" s="3">
        <v>152.1</v>
      </c>
      <c r="K104" s="3">
        <v>683.9</v>
      </c>
      <c r="L104" s="3">
        <v>148.19999999999999</v>
      </c>
      <c r="M104" s="10" t="s">
        <v>98</v>
      </c>
    </row>
    <row r="105" spans="1:13" hidden="1">
      <c r="A105" t="s">
        <v>30</v>
      </c>
      <c r="B105">
        <v>2020</v>
      </c>
      <c r="C105" t="s">
        <v>35</v>
      </c>
      <c r="D105" s="3">
        <v>1909.7999999999997</v>
      </c>
      <c r="E105" s="3">
        <v>169.4</v>
      </c>
      <c r="F105" s="3">
        <v>452.8</v>
      </c>
      <c r="G105" s="3">
        <v>155.69999999999999</v>
      </c>
      <c r="H105" s="3">
        <v>152.30000000000001</v>
      </c>
      <c r="I105" s="3">
        <v>156.19999999999999</v>
      </c>
      <c r="J105" s="3">
        <v>161.9</v>
      </c>
      <c r="K105" s="3">
        <v>730</v>
      </c>
      <c r="L105" s="3">
        <v>150.4</v>
      </c>
      <c r="M105" s="10" t="s">
        <v>99</v>
      </c>
    </row>
    <row r="106" spans="1:13" hidden="1">
      <c r="A106" t="s">
        <v>33</v>
      </c>
      <c r="B106">
        <v>2020</v>
      </c>
      <c r="C106" t="s">
        <v>35</v>
      </c>
      <c r="D106" s="3">
        <v>1916.6</v>
      </c>
      <c r="E106" s="3">
        <v>172</v>
      </c>
      <c r="F106" s="3">
        <v>426</v>
      </c>
      <c r="G106" s="3">
        <v>154.80000000000001</v>
      </c>
      <c r="H106" s="3">
        <v>138.9</v>
      </c>
      <c r="I106" s="3">
        <v>144.4</v>
      </c>
      <c r="J106" s="3">
        <v>152.19999999999999</v>
      </c>
      <c r="K106" s="3">
        <v>685.19999999999993</v>
      </c>
      <c r="L106" s="3">
        <v>147.69999999999999</v>
      </c>
      <c r="M106" s="10" t="s">
        <v>99</v>
      </c>
    </row>
    <row r="107" spans="1:13" hidden="1">
      <c r="A107" t="s">
        <v>30</v>
      </c>
      <c r="B107">
        <v>2020</v>
      </c>
      <c r="C107" t="s">
        <v>46</v>
      </c>
      <c r="D107" s="3">
        <v>2100.5</v>
      </c>
      <c r="E107" s="3">
        <v>183.6</v>
      </c>
      <c r="F107" s="3">
        <v>464.90000000000003</v>
      </c>
      <c r="G107" s="3">
        <v>155.69999999999999</v>
      </c>
      <c r="H107" s="3">
        <v>148.69999999999999</v>
      </c>
      <c r="I107" s="3">
        <v>161.6</v>
      </c>
      <c r="J107" s="3">
        <v>162.9</v>
      </c>
      <c r="K107" s="3">
        <v>765.5</v>
      </c>
      <c r="L107" s="3">
        <v>160.69999999999999</v>
      </c>
      <c r="M107" s="10" t="s">
        <v>100</v>
      </c>
    </row>
    <row r="108" spans="1:13" hidden="1">
      <c r="A108" t="s">
        <v>33</v>
      </c>
      <c r="B108">
        <v>2020</v>
      </c>
      <c r="C108" t="s">
        <v>46</v>
      </c>
      <c r="D108" s="3">
        <v>2125.4</v>
      </c>
      <c r="E108" s="3">
        <v>190.2</v>
      </c>
      <c r="F108" s="3">
        <v>438.20000000000005</v>
      </c>
      <c r="G108" s="3">
        <v>158.4</v>
      </c>
      <c r="H108" s="3">
        <v>137.9</v>
      </c>
      <c r="I108" s="3">
        <v>152.9</v>
      </c>
      <c r="J108" s="3">
        <v>156.9</v>
      </c>
      <c r="K108" s="3">
        <v>730.1</v>
      </c>
      <c r="L108" s="3">
        <v>156.9</v>
      </c>
      <c r="M108" s="10" t="s">
        <v>100</v>
      </c>
    </row>
    <row r="109" spans="1:13" hidden="1">
      <c r="A109" t="s">
        <v>30</v>
      </c>
      <c r="B109">
        <v>2020</v>
      </c>
      <c r="C109" t="s">
        <v>41</v>
      </c>
      <c r="D109" s="3">
        <v>1978.6</v>
      </c>
      <c r="E109" s="3">
        <v>180.9</v>
      </c>
      <c r="F109" s="3">
        <v>458.7</v>
      </c>
      <c r="G109" s="3">
        <v>155.69999999999999</v>
      </c>
      <c r="H109" s="3">
        <v>145.80000000000001</v>
      </c>
      <c r="I109" s="3">
        <v>158.80000000000001</v>
      </c>
      <c r="J109" s="3">
        <v>162.69999999999999</v>
      </c>
      <c r="K109" s="3">
        <v>754.3</v>
      </c>
      <c r="L109" s="3">
        <v>154.69999999999999</v>
      </c>
      <c r="M109" s="10" t="s">
        <v>101</v>
      </c>
    </row>
    <row r="110" spans="1:13" hidden="1">
      <c r="A110" t="s">
        <v>33</v>
      </c>
      <c r="B110">
        <v>2020</v>
      </c>
      <c r="C110" t="s">
        <v>41</v>
      </c>
      <c r="D110" s="3">
        <v>2024.8999999999999</v>
      </c>
      <c r="E110" s="3">
        <v>187.2</v>
      </c>
      <c r="F110" s="3">
        <v>433</v>
      </c>
      <c r="G110" s="3">
        <v>155.5</v>
      </c>
      <c r="H110" s="3">
        <v>138.30000000000001</v>
      </c>
      <c r="I110" s="3">
        <v>148.69999999999999</v>
      </c>
      <c r="J110" s="3">
        <v>155.5</v>
      </c>
      <c r="K110" s="3">
        <v>719.59999999999991</v>
      </c>
      <c r="L110" s="3">
        <v>152.9</v>
      </c>
      <c r="M110" s="10" t="s">
        <v>101</v>
      </c>
    </row>
    <row r="111" spans="1:13" hidden="1">
      <c r="A111" t="s">
        <v>30</v>
      </c>
      <c r="B111">
        <v>2020</v>
      </c>
      <c r="C111" t="s">
        <v>37</v>
      </c>
      <c r="D111" s="3">
        <v>1920.1519125683062</v>
      </c>
      <c r="E111" s="3">
        <v>155.38579234972681</v>
      </c>
      <c r="F111" s="3">
        <v>420.31098360655722</v>
      </c>
      <c r="G111" s="3">
        <v>155.69999999999999</v>
      </c>
      <c r="H111" s="3">
        <v>148.4</v>
      </c>
      <c r="I111" s="3">
        <v>154.30000000000001</v>
      </c>
      <c r="J111" s="3">
        <v>141.13</v>
      </c>
      <c r="K111" s="3">
        <v>665.32</v>
      </c>
      <c r="L111" s="3">
        <v>139.56</v>
      </c>
      <c r="M111" s="10" t="s">
        <v>102</v>
      </c>
    </row>
    <row r="112" spans="1:13" hidden="1">
      <c r="A112" t="s">
        <v>33</v>
      </c>
      <c r="B112">
        <v>2020</v>
      </c>
      <c r="C112" t="s">
        <v>37</v>
      </c>
      <c r="D112" s="3">
        <v>1942.0519125683061</v>
      </c>
      <c r="E112" s="3">
        <v>155.38579234972681</v>
      </c>
      <c r="F112" s="3">
        <v>420.31098360655722</v>
      </c>
      <c r="G112" s="3">
        <v>155.6</v>
      </c>
      <c r="H112" s="3">
        <v>137.1</v>
      </c>
      <c r="I112" s="3">
        <v>144.80000000000001</v>
      </c>
      <c r="J112" s="3">
        <v>141.13</v>
      </c>
      <c r="K112" s="3">
        <v>665.32</v>
      </c>
      <c r="L112" s="3">
        <v>139.56</v>
      </c>
      <c r="M112" s="10" t="s">
        <v>102</v>
      </c>
    </row>
    <row r="113" spans="1:13" hidden="1">
      <c r="A113" t="s">
        <v>34</v>
      </c>
      <c r="B113">
        <v>2020</v>
      </c>
      <c r="C113" t="s">
        <v>42</v>
      </c>
      <c r="D113" s="3">
        <v>2007</v>
      </c>
      <c r="E113" s="3">
        <v>184.4</v>
      </c>
      <c r="F113" s="3">
        <v>449.70000000000005</v>
      </c>
      <c r="G113" s="3">
        <v>156.30000000000001</v>
      </c>
      <c r="H113" s="3">
        <v>142.9</v>
      </c>
      <c r="I113" s="3">
        <v>155.6</v>
      </c>
      <c r="J113" s="3">
        <v>157.5</v>
      </c>
      <c r="K113" s="3">
        <v>743.3</v>
      </c>
      <c r="L113" s="3">
        <v>154.69999999999999</v>
      </c>
      <c r="M113" s="10" t="s">
        <v>91</v>
      </c>
    </row>
    <row r="114" spans="1:13" hidden="1">
      <c r="A114" t="s">
        <v>34</v>
      </c>
      <c r="B114">
        <v>2020</v>
      </c>
      <c r="C114" t="s">
        <v>43</v>
      </c>
      <c r="D114" s="3">
        <v>2048.6000000000004</v>
      </c>
      <c r="E114" s="3">
        <v>184.3</v>
      </c>
      <c r="F114" s="3">
        <v>450.59999999999997</v>
      </c>
      <c r="G114" s="3">
        <v>156.5</v>
      </c>
      <c r="H114" s="3">
        <v>143.1</v>
      </c>
      <c r="I114" s="3">
        <v>156.30000000000001</v>
      </c>
      <c r="J114" s="3">
        <v>158.5</v>
      </c>
      <c r="K114" s="3">
        <v>743.19999999999993</v>
      </c>
      <c r="L114" s="3">
        <v>156.4</v>
      </c>
      <c r="M114" s="10" t="s">
        <v>92</v>
      </c>
    </row>
    <row r="115" spans="1:13" hidden="1">
      <c r="A115" t="s">
        <v>34</v>
      </c>
      <c r="B115">
        <v>2020</v>
      </c>
      <c r="C115" t="s">
        <v>45</v>
      </c>
      <c r="D115" s="3">
        <v>2095.6</v>
      </c>
      <c r="E115" s="3">
        <v>184.8</v>
      </c>
      <c r="F115" s="3">
        <v>452.00000000000006</v>
      </c>
      <c r="G115" s="3">
        <v>158</v>
      </c>
      <c r="H115" s="3">
        <v>143.6</v>
      </c>
      <c r="I115" s="3">
        <v>157.19999999999999</v>
      </c>
      <c r="J115" s="3">
        <v>158.6</v>
      </c>
      <c r="K115" s="3">
        <v>745.59999999999991</v>
      </c>
      <c r="L115" s="3">
        <v>158.4</v>
      </c>
      <c r="M115" s="10" t="s">
        <v>93</v>
      </c>
    </row>
    <row r="116" spans="1:13" hidden="1">
      <c r="A116" t="s">
        <v>34</v>
      </c>
      <c r="B116">
        <v>2020</v>
      </c>
      <c r="C116" t="s">
        <v>38</v>
      </c>
      <c r="D116" s="3">
        <v>1825.268172730908</v>
      </c>
      <c r="E116" s="3">
        <v>155.38579234972681</v>
      </c>
      <c r="F116" s="3">
        <v>420.31098360655722</v>
      </c>
      <c r="G116" s="3">
        <v>155.69999999999999</v>
      </c>
      <c r="H116" s="3">
        <v>136.51</v>
      </c>
      <c r="I116" s="3">
        <v>138.51</v>
      </c>
      <c r="J116" s="3">
        <v>141.13</v>
      </c>
      <c r="K116" s="3">
        <v>665.32</v>
      </c>
      <c r="L116" s="3">
        <v>139.56</v>
      </c>
      <c r="M116" s="10" t="s">
        <v>94</v>
      </c>
    </row>
    <row r="117" spans="1:13" hidden="1">
      <c r="A117" t="s">
        <v>34</v>
      </c>
      <c r="B117">
        <v>2020</v>
      </c>
      <c r="C117" t="s">
        <v>36</v>
      </c>
      <c r="D117" s="3">
        <v>1895.4</v>
      </c>
      <c r="E117" s="3">
        <v>171.2</v>
      </c>
      <c r="F117" s="3">
        <v>442.90000000000003</v>
      </c>
      <c r="G117" s="3">
        <v>154.5</v>
      </c>
      <c r="H117" s="3">
        <v>148.9</v>
      </c>
      <c r="I117" s="3">
        <v>152.30000000000001</v>
      </c>
      <c r="J117" s="3">
        <v>156.1</v>
      </c>
      <c r="K117" s="3">
        <v>709</v>
      </c>
      <c r="L117" s="3">
        <v>148.6</v>
      </c>
      <c r="M117" s="10" t="s">
        <v>95</v>
      </c>
    </row>
    <row r="118" spans="1:13" hidden="1">
      <c r="A118" t="s">
        <v>34</v>
      </c>
      <c r="B118">
        <v>2020</v>
      </c>
      <c r="C118" t="s">
        <v>39</v>
      </c>
      <c r="D118" s="3">
        <v>1966.8000000000002</v>
      </c>
      <c r="E118" s="3">
        <v>183.5</v>
      </c>
      <c r="F118" s="3">
        <v>448.29999999999995</v>
      </c>
      <c r="G118" s="3">
        <v>154.69999999999999</v>
      </c>
      <c r="H118" s="3">
        <v>141.9</v>
      </c>
      <c r="I118" s="3">
        <v>154.4</v>
      </c>
      <c r="J118" s="3">
        <v>156.4</v>
      </c>
      <c r="K118" s="3">
        <v>728.3</v>
      </c>
      <c r="L118" s="3">
        <v>151.80000000000001</v>
      </c>
      <c r="M118" s="10" t="s">
        <v>96</v>
      </c>
    </row>
    <row r="119" spans="1:13" hidden="1">
      <c r="A119" t="s">
        <v>34</v>
      </c>
      <c r="B119">
        <v>2020</v>
      </c>
      <c r="C119" t="s">
        <v>40</v>
      </c>
      <c r="D119" s="3">
        <v>1966.8000000000002</v>
      </c>
      <c r="E119" s="3">
        <v>183.5</v>
      </c>
      <c r="F119" s="3">
        <v>448.29999999999995</v>
      </c>
      <c r="G119" s="3">
        <v>154.69999999999999</v>
      </c>
      <c r="H119" s="3">
        <v>141.9</v>
      </c>
      <c r="I119" s="3">
        <v>154.4</v>
      </c>
      <c r="J119" s="3">
        <v>156.4</v>
      </c>
      <c r="K119" s="3">
        <v>728.3</v>
      </c>
      <c r="L119" s="3">
        <v>151.80000000000001</v>
      </c>
      <c r="M119" s="10" t="s">
        <v>97</v>
      </c>
    </row>
    <row r="120" spans="1:13" hidden="1">
      <c r="A120" t="s">
        <v>34</v>
      </c>
      <c r="B120">
        <v>2020</v>
      </c>
      <c r="C120" t="s">
        <v>31</v>
      </c>
      <c r="D120" s="3">
        <v>1940.3999999999999</v>
      </c>
      <c r="E120" s="3">
        <v>169.2</v>
      </c>
      <c r="F120" s="3">
        <v>441.2</v>
      </c>
      <c r="G120" s="3">
        <v>153.9</v>
      </c>
      <c r="H120" s="3">
        <v>144.6</v>
      </c>
      <c r="I120" s="3">
        <v>151.19999999999999</v>
      </c>
      <c r="J120" s="3">
        <v>156.1</v>
      </c>
      <c r="K120" s="3">
        <v>705.6</v>
      </c>
      <c r="L120" s="3">
        <v>150.19999999999999</v>
      </c>
      <c r="M120" s="10" t="s">
        <v>98</v>
      </c>
    </row>
    <row r="121" spans="1:13" hidden="1">
      <c r="A121" t="s">
        <v>34</v>
      </c>
      <c r="B121">
        <v>2020</v>
      </c>
      <c r="C121" t="s">
        <v>35</v>
      </c>
      <c r="D121" s="3">
        <v>1911.6</v>
      </c>
      <c r="E121" s="3">
        <v>170.1</v>
      </c>
      <c r="F121" s="3">
        <v>442</v>
      </c>
      <c r="G121" s="3">
        <v>154.80000000000001</v>
      </c>
      <c r="H121" s="3">
        <v>147.19999999999999</v>
      </c>
      <c r="I121" s="3">
        <v>151.69999999999999</v>
      </c>
      <c r="J121" s="3">
        <v>156.19999999999999</v>
      </c>
      <c r="K121" s="3">
        <v>706.90000000000009</v>
      </c>
      <c r="L121" s="3">
        <v>149.1</v>
      </c>
      <c r="M121" s="10" t="s">
        <v>99</v>
      </c>
    </row>
    <row r="122" spans="1:13" hidden="1">
      <c r="A122" t="s">
        <v>34</v>
      </c>
      <c r="B122">
        <v>2020</v>
      </c>
      <c r="C122" t="s">
        <v>46</v>
      </c>
      <c r="D122" s="3">
        <v>2109.1</v>
      </c>
      <c r="E122" s="3">
        <v>185.4</v>
      </c>
      <c r="F122" s="3">
        <v>454</v>
      </c>
      <c r="G122" s="3">
        <v>158.4</v>
      </c>
      <c r="H122" s="3">
        <v>144.6</v>
      </c>
      <c r="I122" s="3">
        <v>158.30000000000001</v>
      </c>
      <c r="J122" s="3">
        <v>159.4</v>
      </c>
      <c r="K122" s="3">
        <v>747.2</v>
      </c>
      <c r="L122" s="3">
        <v>158.9</v>
      </c>
      <c r="M122" s="10" t="s">
        <v>100</v>
      </c>
    </row>
    <row r="123" spans="1:13" hidden="1">
      <c r="A123" t="s">
        <v>34</v>
      </c>
      <c r="B123">
        <v>2020</v>
      </c>
      <c r="C123" t="s">
        <v>41</v>
      </c>
      <c r="D123" s="3">
        <v>1995.1999999999998</v>
      </c>
      <c r="E123" s="3">
        <v>182.6</v>
      </c>
      <c r="F123" s="3">
        <v>448.2</v>
      </c>
      <c r="G123" s="3">
        <v>155.5</v>
      </c>
      <c r="H123" s="3">
        <v>143</v>
      </c>
      <c r="I123" s="3">
        <v>155</v>
      </c>
      <c r="J123" s="3">
        <v>158.5</v>
      </c>
      <c r="K123" s="3">
        <v>736.2</v>
      </c>
      <c r="L123" s="3">
        <v>153.9</v>
      </c>
      <c r="M123" s="10" t="s">
        <v>101</v>
      </c>
    </row>
    <row r="124" spans="1:13" hidden="1">
      <c r="A124" t="s">
        <v>34</v>
      </c>
      <c r="B124">
        <v>2020</v>
      </c>
      <c r="C124" t="s">
        <v>37</v>
      </c>
      <c r="D124" s="3">
        <v>1928.0519125683061</v>
      </c>
      <c r="E124" s="3">
        <v>155.38579234972681</v>
      </c>
      <c r="F124" s="3">
        <v>420.31098360655722</v>
      </c>
      <c r="G124" s="3">
        <v>155.6</v>
      </c>
      <c r="H124" s="3">
        <v>144.1</v>
      </c>
      <c r="I124" s="3">
        <v>150.69999999999999</v>
      </c>
      <c r="J124" s="3">
        <v>141.13</v>
      </c>
      <c r="K124" s="3">
        <v>665.32</v>
      </c>
      <c r="L124" s="3">
        <v>139.56</v>
      </c>
      <c r="M124" s="10" t="s">
        <v>102</v>
      </c>
    </row>
    <row r="125" spans="1:13" hidden="1">
      <c r="A125" t="s">
        <v>34</v>
      </c>
      <c r="B125">
        <v>2019</v>
      </c>
      <c r="C125" t="s">
        <v>42</v>
      </c>
      <c r="D125" s="3">
        <v>1857.6999999999998</v>
      </c>
      <c r="E125" s="3">
        <v>166.5</v>
      </c>
      <c r="F125" s="3">
        <v>437.69999999999993</v>
      </c>
      <c r="G125" s="3">
        <v>152.19999999999999</v>
      </c>
      <c r="H125" s="3">
        <v>139.19999999999999</v>
      </c>
      <c r="I125" s="3">
        <v>149</v>
      </c>
      <c r="J125" s="3">
        <v>155.19999999999999</v>
      </c>
      <c r="K125" s="3">
        <v>692.40000000000009</v>
      </c>
      <c r="L125" s="3">
        <v>145.80000000000001</v>
      </c>
      <c r="M125" s="10" t="s">
        <v>103</v>
      </c>
    </row>
    <row r="126" spans="1:13" hidden="1">
      <c r="A126" t="s">
        <v>34</v>
      </c>
      <c r="B126">
        <v>2019</v>
      </c>
      <c r="C126" t="s">
        <v>43</v>
      </c>
      <c r="D126" s="3">
        <v>1885.5999999999997</v>
      </c>
      <c r="E126" s="3">
        <v>167.1</v>
      </c>
      <c r="F126" s="3">
        <v>438.40000000000003</v>
      </c>
      <c r="G126" s="3">
        <v>153</v>
      </c>
      <c r="H126" s="3">
        <v>140.6</v>
      </c>
      <c r="I126" s="3">
        <v>149.4</v>
      </c>
      <c r="J126" s="3">
        <v>155.4</v>
      </c>
      <c r="K126" s="3">
        <v>694</v>
      </c>
      <c r="L126" s="3">
        <v>147.19999999999999</v>
      </c>
      <c r="M126" s="10" t="s">
        <v>104</v>
      </c>
    </row>
    <row r="127" spans="1:13" hidden="1">
      <c r="A127" t="s">
        <v>34</v>
      </c>
      <c r="B127">
        <v>2019</v>
      </c>
      <c r="C127" t="s">
        <v>45</v>
      </c>
      <c r="D127" s="3">
        <v>1910.9</v>
      </c>
      <c r="E127" s="3">
        <v>167.9</v>
      </c>
      <c r="F127" s="3">
        <v>439.5</v>
      </c>
      <c r="G127" s="3">
        <v>153.5</v>
      </c>
      <c r="H127" s="3">
        <v>142.30000000000001</v>
      </c>
      <c r="I127" s="3">
        <v>149.9</v>
      </c>
      <c r="J127" s="3">
        <v>155.5</v>
      </c>
      <c r="K127" s="3">
        <v>695.59999999999991</v>
      </c>
      <c r="L127" s="3">
        <v>148.6</v>
      </c>
      <c r="M127" s="10" t="s">
        <v>105</v>
      </c>
    </row>
    <row r="128" spans="1:13" hidden="1">
      <c r="A128" t="s">
        <v>34</v>
      </c>
      <c r="B128">
        <v>2019</v>
      </c>
      <c r="C128" t="s">
        <v>38</v>
      </c>
      <c r="D128" s="3">
        <v>1791.9000000000003</v>
      </c>
      <c r="E128" s="3">
        <v>164.1</v>
      </c>
      <c r="F128" s="3">
        <v>436.1</v>
      </c>
      <c r="G128" s="3">
        <v>150.1</v>
      </c>
      <c r="H128" s="3">
        <v>140.30000000000001</v>
      </c>
      <c r="I128" s="3">
        <v>146.9</v>
      </c>
      <c r="J128" s="3">
        <v>151.6</v>
      </c>
      <c r="K128" s="3">
        <v>679.40000000000009</v>
      </c>
      <c r="L128" s="3">
        <v>142</v>
      </c>
      <c r="M128" s="10" t="s">
        <v>106</v>
      </c>
    </row>
    <row r="129" spans="1:13" hidden="1">
      <c r="A129" t="s">
        <v>34</v>
      </c>
      <c r="B129">
        <v>2019</v>
      </c>
      <c r="C129" t="s">
        <v>36</v>
      </c>
      <c r="D129" s="3">
        <v>1762.9</v>
      </c>
      <c r="E129" s="3">
        <v>163.5</v>
      </c>
      <c r="F129" s="3">
        <v>434.5</v>
      </c>
      <c r="G129" s="3">
        <v>149</v>
      </c>
      <c r="H129" s="3">
        <v>139.69999999999999</v>
      </c>
      <c r="I129" s="3">
        <v>146.19999999999999</v>
      </c>
      <c r="J129" s="3">
        <v>150.30000000000001</v>
      </c>
      <c r="K129" s="3">
        <v>677.2</v>
      </c>
      <c r="L129" s="3">
        <v>140.4</v>
      </c>
      <c r="M129" s="10" t="s">
        <v>107</v>
      </c>
    </row>
    <row r="130" spans="1:13" hidden="1">
      <c r="A130" t="s">
        <v>30</v>
      </c>
      <c r="B130">
        <v>2019</v>
      </c>
      <c r="C130" t="s">
        <v>42</v>
      </c>
      <c r="D130" s="3">
        <v>1848.7</v>
      </c>
      <c r="E130" s="3">
        <v>165.7</v>
      </c>
      <c r="F130" s="3">
        <v>449.29999999999995</v>
      </c>
      <c r="G130" s="3">
        <v>150.69999999999999</v>
      </c>
      <c r="H130" s="3">
        <v>146.9</v>
      </c>
      <c r="I130" s="3">
        <v>153.4</v>
      </c>
      <c r="J130" s="3">
        <v>160.19999999999999</v>
      </c>
      <c r="K130" s="3">
        <v>715.8</v>
      </c>
      <c r="L130" s="3">
        <v>146.69999999999999</v>
      </c>
      <c r="M130" s="10" t="s">
        <v>103</v>
      </c>
    </row>
    <row r="131" spans="1:13" hidden="1">
      <c r="A131" t="s">
        <v>33</v>
      </c>
      <c r="B131">
        <v>2019</v>
      </c>
      <c r="C131" t="s">
        <v>42</v>
      </c>
      <c r="D131" s="3">
        <v>1874.9</v>
      </c>
      <c r="E131" s="3">
        <v>168.6</v>
      </c>
      <c r="F131" s="3">
        <v>420.8</v>
      </c>
      <c r="G131" s="3">
        <v>152.19999999999999</v>
      </c>
      <c r="H131" s="3">
        <v>126.6</v>
      </c>
      <c r="I131" s="3">
        <v>141.9</v>
      </c>
      <c r="J131" s="3">
        <v>151.6</v>
      </c>
      <c r="K131" s="3">
        <v>670.09999999999991</v>
      </c>
      <c r="L131" s="3">
        <v>144.69999999999999</v>
      </c>
      <c r="M131" s="10" t="s">
        <v>103</v>
      </c>
    </row>
    <row r="132" spans="1:13" hidden="1">
      <c r="A132" t="s">
        <v>34</v>
      </c>
      <c r="B132">
        <v>2019</v>
      </c>
      <c r="C132" t="s">
        <v>39</v>
      </c>
      <c r="D132" s="3">
        <v>1814.1000000000001</v>
      </c>
      <c r="E132" s="3">
        <v>164.9</v>
      </c>
      <c r="F132" s="3">
        <v>436.4</v>
      </c>
      <c r="G132" s="3">
        <v>149.4</v>
      </c>
      <c r="H132" s="3">
        <v>141.19999999999999</v>
      </c>
      <c r="I132" s="3">
        <v>147.4</v>
      </c>
      <c r="J132" s="3">
        <v>152.5</v>
      </c>
      <c r="K132" s="3">
        <v>680.9</v>
      </c>
      <c r="L132" s="3">
        <v>142.9</v>
      </c>
      <c r="M132" s="10" t="s">
        <v>108</v>
      </c>
    </row>
    <row r="133" spans="1:13" hidden="1">
      <c r="A133" t="s">
        <v>30</v>
      </c>
      <c r="B133">
        <v>2019</v>
      </c>
      <c r="C133" t="s">
        <v>43</v>
      </c>
      <c r="D133" s="3">
        <v>1876.8999999999996</v>
      </c>
      <c r="E133" s="3">
        <v>166.3</v>
      </c>
      <c r="F133" s="3">
        <v>449.4</v>
      </c>
      <c r="G133" s="3">
        <v>150.69999999999999</v>
      </c>
      <c r="H133" s="3">
        <v>147.69999999999999</v>
      </c>
      <c r="I133" s="3">
        <v>153.69999999999999</v>
      </c>
      <c r="J133" s="3">
        <v>160.69999999999999</v>
      </c>
      <c r="K133" s="3">
        <v>717</v>
      </c>
      <c r="L133" s="3">
        <v>148.30000000000001</v>
      </c>
      <c r="M133" s="10" t="s">
        <v>104</v>
      </c>
    </row>
    <row r="134" spans="1:13" hidden="1">
      <c r="A134" t="s">
        <v>33</v>
      </c>
      <c r="B134">
        <v>2019</v>
      </c>
      <c r="C134" t="s">
        <v>43</v>
      </c>
      <c r="D134" s="3">
        <v>1902.6000000000001</v>
      </c>
      <c r="E134" s="3">
        <v>169.3</v>
      </c>
      <c r="F134" s="3">
        <v>422.20000000000005</v>
      </c>
      <c r="G134" s="3">
        <v>153</v>
      </c>
      <c r="H134" s="3">
        <v>128.9</v>
      </c>
      <c r="I134" s="3">
        <v>142.4</v>
      </c>
      <c r="J134" s="3">
        <v>151.69999999999999</v>
      </c>
      <c r="K134" s="3">
        <v>671.9</v>
      </c>
      <c r="L134" s="3">
        <v>146</v>
      </c>
      <c r="M134" s="10" t="s">
        <v>104</v>
      </c>
    </row>
    <row r="135" spans="1:13" hidden="1">
      <c r="A135" t="s">
        <v>34</v>
      </c>
      <c r="B135">
        <v>2019</v>
      </c>
      <c r="C135" t="s">
        <v>40</v>
      </c>
      <c r="D135" s="3">
        <v>1837.5</v>
      </c>
      <c r="E135" s="3">
        <v>165.2</v>
      </c>
      <c r="F135" s="3">
        <v>437</v>
      </c>
      <c r="G135" s="3">
        <v>150.6</v>
      </c>
      <c r="H135" s="3">
        <v>139.30000000000001</v>
      </c>
      <c r="I135" s="3">
        <v>147.9</v>
      </c>
      <c r="J135" s="3">
        <v>154</v>
      </c>
      <c r="K135" s="3">
        <v>685.5</v>
      </c>
      <c r="L135" s="3">
        <v>144.19999999999999</v>
      </c>
      <c r="M135" s="10" t="s">
        <v>109</v>
      </c>
    </row>
    <row r="136" spans="1:13" hidden="1">
      <c r="A136" t="s">
        <v>30</v>
      </c>
      <c r="B136">
        <v>2019</v>
      </c>
      <c r="C136" t="s">
        <v>45</v>
      </c>
      <c r="D136" s="3">
        <v>1904.6000000000001</v>
      </c>
      <c r="E136" s="3">
        <v>167.2</v>
      </c>
      <c r="F136" s="3">
        <v>450.8</v>
      </c>
      <c r="G136" s="3">
        <v>150.69999999999999</v>
      </c>
      <c r="H136" s="3">
        <v>148.4</v>
      </c>
      <c r="I136" s="3">
        <v>154.30000000000001</v>
      </c>
      <c r="J136" s="3">
        <v>160.80000000000001</v>
      </c>
      <c r="K136" s="3">
        <v>718.80000000000007</v>
      </c>
      <c r="L136" s="3">
        <v>149.9</v>
      </c>
      <c r="M136" s="10" t="s">
        <v>105</v>
      </c>
    </row>
    <row r="137" spans="1:13" hidden="1">
      <c r="A137" t="s">
        <v>33</v>
      </c>
      <c r="B137">
        <v>2019</v>
      </c>
      <c r="C137" t="s">
        <v>45</v>
      </c>
      <c r="D137" s="3">
        <v>1923.9999999999998</v>
      </c>
      <c r="E137" s="3">
        <v>169.9</v>
      </c>
      <c r="F137" s="3">
        <v>423.09999999999997</v>
      </c>
      <c r="G137" s="3">
        <v>153.5</v>
      </c>
      <c r="H137" s="3">
        <v>132.19999999999999</v>
      </c>
      <c r="I137" s="3">
        <v>142.80000000000001</v>
      </c>
      <c r="J137" s="3">
        <v>151.80000000000001</v>
      </c>
      <c r="K137" s="3">
        <v>673.59999999999991</v>
      </c>
      <c r="L137" s="3">
        <v>147</v>
      </c>
      <c r="M137" s="10" t="s">
        <v>105</v>
      </c>
    </row>
    <row r="138" spans="1:13" hidden="1">
      <c r="A138" t="s">
        <v>34</v>
      </c>
      <c r="B138">
        <v>2019</v>
      </c>
      <c r="C138" t="s">
        <v>31</v>
      </c>
      <c r="D138" s="3">
        <v>1753.3999999999999</v>
      </c>
      <c r="E138" s="3">
        <v>163.19999999999999</v>
      </c>
      <c r="F138" s="3">
        <v>433</v>
      </c>
      <c r="G138" s="3">
        <v>147.69999999999999</v>
      </c>
      <c r="H138" s="3">
        <v>139.5</v>
      </c>
      <c r="I138" s="3">
        <v>145.1</v>
      </c>
      <c r="J138" s="3">
        <v>150.19999999999999</v>
      </c>
      <c r="K138" s="3">
        <v>673.3</v>
      </c>
      <c r="L138" s="3">
        <v>139.6</v>
      </c>
      <c r="M138" s="10" t="s">
        <v>110</v>
      </c>
    </row>
    <row r="139" spans="1:13" hidden="1">
      <c r="A139" t="s">
        <v>30</v>
      </c>
      <c r="B139">
        <v>2019</v>
      </c>
      <c r="C139" t="s">
        <v>38</v>
      </c>
      <c r="D139" s="3">
        <v>1782.1000000000001</v>
      </c>
      <c r="E139" s="3">
        <v>163.30000000000001</v>
      </c>
      <c r="F139" s="3">
        <v>448.59999999999997</v>
      </c>
      <c r="G139" s="3">
        <v>150.69999999999999</v>
      </c>
      <c r="H139" s="3">
        <v>146.9</v>
      </c>
      <c r="I139" s="3">
        <v>151.30000000000001</v>
      </c>
      <c r="J139" s="3">
        <v>156.69999999999999</v>
      </c>
      <c r="K139" s="3">
        <v>702.4</v>
      </c>
      <c r="L139" s="3">
        <v>142.4</v>
      </c>
      <c r="M139" s="10" t="s">
        <v>106</v>
      </c>
    </row>
    <row r="140" spans="1:13" hidden="1">
      <c r="A140" t="s">
        <v>33</v>
      </c>
      <c r="B140">
        <v>2019</v>
      </c>
      <c r="C140" t="s">
        <v>38</v>
      </c>
      <c r="D140" s="3">
        <v>1811.5000000000002</v>
      </c>
      <c r="E140" s="3">
        <v>166.2</v>
      </c>
      <c r="F140" s="3">
        <v>417.9</v>
      </c>
      <c r="G140" s="3">
        <v>150.1</v>
      </c>
      <c r="H140" s="3">
        <v>129.4</v>
      </c>
      <c r="I140" s="3">
        <v>139.80000000000001</v>
      </c>
      <c r="J140" s="3">
        <v>148</v>
      </c>
      <c r="K140" s="3">
        <v>657.2</v>
      </c>
      <c r="L140" s="3">
        <v>141.5</v>
      </c>
      <c r="M140" s="10" t="s">
        <v>106</v>
      </c>
    </row>
    <row r="141" spans="1:13" hidden="1">
      <c r="A141" t="s">
        <v>34</v>
      </c>
      <c r="B141">
        <v>2019</v>
      </c>
      <c r="C141" t="s">
        <v>35</v>
      </c>
      <c r="D141" s="3">
        <v>1757.1</v>
      </c>
      <c r="E141" s="3">
        <v>163.4</v>
      </c>
      <c r="F141" s="3">
        <v>433.9</v>
      </c>
      <c r="G141" s="3">
        <v>148.5</v>
      </c>
      <c r="H141" s="3">
        <v>138.4</v>
      </c>
      <c r="I141" s="3">
        <v>145.6</v>
      </c>
      <c r="J141" s="3">
        <v>150.30000000000001</v>
      </c>
      <c r="K141" s="3">
        <v>676.2</v>
      </c>
      <c r="L141" s="3">
        <v>139.9</v>
      </c>
      <c r="M141" s="10" t="s">
        <v>111</v>
      </c>
    </row>
    <row r="142" spans="1:13" hidden="1">
      <c r="A142" t="s">
        <v>30</v>
      </c>
      <c r="B142">
        <v>2019</v>
      </c>
      <c r="C142" t="s">
        <v>36</v>
      </c>
      <c r="D142" s="3">
        <v>1761.2000000000003</v>
      </c>
      <c r="E142" s="3">
        <v>162.9</v>
      </c>
      <c r="F142" s="3">
        <v>447</v>
      </c>
      <c r="G142" s="3">
        <v>150.69999999999999</v>
      </c>
      <c r="H142" s="3">
        <v>146.4</v>
      </c>
      <c r="I142" s="3">
        <v>150.4</v>
      </c>
      <c r="J142" s="3">
        <v>155.5</v>
      </c>
      <c r="K142" s="3">
        <v>700.1</v>
      </c>
      <c r="L142" s="3">
        <v>141.19999999999999</v>
      </c>
      <c r="M142" s="10" t="s">
        <v>107</v>
      </c>
    </row>
    <row r="143" spans="1:13" hidden="1">
      <c r="A143" t="s">
        <v>33</v>
      </c>
      <c r="B143">
        <v>2019</v>
      </c>
      <c r="C143" t="s">
        <v>36</v>
      </c>
      <c r="D143" s="3">
        <v>1768.4</v>
      </c>
      <c r="E143" s="3">
        <v>165.3</v>
      </c>
      <c r="F143" s="3">
        <v>416.29999999999995</v>
      </c>
      <c r="G143" s="3">
        <v>149</v>
      </c>
      <c r="H143" s="3">
        <v>128.80000000000001</v>
      </c>
      <c r="I143" s="3">
        <v>139.19999999999999</v>
      </c>
      <c r="J143" s="3">
        <v>146.69999999999999</v>
      </c>
      <c r="K143" s="3">
        <v>655</v>
      </c>
      <c r="L143" s="3">
        <v>139.5</v>
      </c>
      <c r="M143" s="10" t="s">
        <v>107</v>
      </c>
    </row>
    <row r="144" spans="1:13" hidden="1">
      <c r="A144" t="s">
        <v>34</v>
      </c>
      <c r="B144">
        <v>2019</v>
      </c>
      <c r="C144" t="s">
        <v>46</v>
      </c>
      <c r="D144" s="3">
        <v>1946.1000000000001</v>
      </c>
      <c r="E144" s="3">
        <v>168.5</v>
      </c>
      <c r="F144" s="3">
        <v>440.6</v>
      </c>
      <c r="G144" s="3">
        <v>152.80000000000001</v>
      </c>
      <c r="H144" s="3">
        <v>143.69999999999999</v>
      </c>
      <c r="I144" s="3">
        <v>150.4</v>
      </c>
      <c r="J144" s="3">
        <v>155.69999999999999</v>
      </c>
      <c r="K144" s="3">
        <v>700.80000000000007</v>
      </c>
      <c r="L144" s="3">
        <v>150.4</v>
      </c>
      <c r="M144" s="10" t="s">
        <v>112</v>
      </c>
    </row>
    <row r="145" spans="1:13" hidden="1">
      <c r="A145" t="s">
        <v>30</v>
      </c>
      <c r="B145">
        <v>2019</v>
      </c>
      <c r="C145" t="s">
        <v>39</v>
      </c>
      <c r="D145" s="3">
        <v>1804.1999999999998</v>
      </c>
      <c r="E145" s="3">
        <v>164.2</v>
      </c>
      <c r="F145" s="3">
        <v>448.59999999999997</v>
      </c>
      <c r="G145" s="3">
        <v>150.69999999999999</v>
      </c>
      <c r="H145" s="3">
        <v>147.80000000000001</v>
      </c>
      <c r="I145" s="3">
        <v>151.69999999999999</v>
      </c>
      <c r="J145" s="3">
        <v>157.69999999999999</v>
      </c>
      <c r="K145" s="3">
        <v>704.3</v>
      </c>
      <c r="L145" s="3">
        <v>143.6</v>
      </c>
      <c r="M145" s="10" t="s">
        <v>108</v>
      </c>
    </row>
    <row r="146" spans="1:13" hidden="1">
      <c r="A146" t="s">
        <v>33</v>
      </c>
      <c r="B146">
        <v>2019</v>
      </c>
      <c r="C146" t="s">
        <v>39</v>
      </c>
      <c r="D146" s="3">
        <v>1833.2999999999997</v>
      </c>
      <c r="E146" s="3">
        <v>166.7</v>
      </c>
      <c r="F146" s="3">
        <v>418.4</v>
      </c>
      <c r="G146" s="3">
        <v>149.4</v>
      </c>
      <c r="H146" s="3">
        <v>130.5</v>
      </c>
      <c r="I146" s="3">
        <v>140.30000000000001</v>
      </c>
      <c r="J146" s="3">
        <v>148.9</v>
      </c>
      <c r="K146" s="3">
        <v>658.6</v>
      </c>
      <c r="L146" s="3">
        <v>142.1</v>
      </c>
      <c r="M146" s="10" t="s">
        <v>108</v>
      </c>
    </row>
    <row r="147" spans="1:13" hidden="1">
      <c r="A147" t="s">
        <v>34</v>
      </c>
      <c r="B147">
        <v>2019</v>
      </c>
      <c r="C147" t="s">
        <v>41</v>
      </c>
      <c r="D147" s="3">
        <v>1846.5</v>
      </c>
      <c r="E147" s="3">
        <v>165.8</v>
      </c>
      <c r="F147" s="3">
        <v>437.6</v>
      </c>
      <c r="G147" s="3">
        <v>151.6</v>
      </c>
      <c r="H147" s="3">
        <v>138.5</v>
      </c>
      <c r="I147" s="3">
        <v>148.5</v>
      </c>
      <c r="J147" s="3">
        <v>154.9</v>
      </c>
      <c r="K147" s="3">
        <v>689.8</v>
      </c>
      <c r="L147" s="3">
        <v>145</v>
      </c>
      <c r="M147" s="10" t="s">
        <v>113</v>
      </c>
    </row>
    <row r="148" spans="1:13" hidden="1">
      <c r="A148" t="s">
        <v>30</v>
      </c>
      <c r="B148">
        <v>2019</v>
      </c>
      <c r="C148" t="s">
        <v>40</v>
      </c>
      <c r="D148" s="3">
        <v>1826.8999999999999</v>
      </c>
      <c r="E148" s="3">
        <v>164.5</v>
      </c>
      <c r="F148" s="3">
        <v>449.1</v>
      </c>
      <c r="G148" s="3">
        <v>150.69999999999999</v>
      </c>
      <c r="H148" s="3">
        <v>146.80000000000001</v>
      </c>
      <c r="I148" s="3">
        <v>152.19999999999999</v>
      </c>
      <c r="J148" s="3">
        <v>159.1</v>
      </c>
      <c r="K148" s="3">
        <v>709</v>
      </c>
      <c r="L148" s="3">
        <v>144.9</v>
      </c>
      <c r="M148" s="10" t="s">
        <v>109</v>
      </c>
    </row>
    <row r="149" spans="1:13" hidden="1">
      <c r="A149" t="s">
        <v>33</v>
      </c>
      <c r="B149">
        <v>2019</v>
      </c>
      <c r="C149" t="s">
        <v>40</v>
      </c>
      <c r="D149" s="3">
        <v>1857.3999999999999</v>
      </c>
      <c r="E149" s="3">
        <v>167.2</v>
      </c>
      <c r="F149" s="3">
        <v>419.3</v>
      </c>
      <c r="G149" s="3">
        <v>150.6</v>
      </c>
      <c r="H149" s="3">
        <v>127</v>
      </c>
      <c r="I149" s="3">
        <v>140.80000000000001</v>
      </c>
      <c r="J149" s="3">
        <v>150.4</v>
      </c>
      <c r="K149" s="3">
        <v>662.9</v>
      </c>
      <c r="L149" s="3">
        <v>143.30000000000001</v>
      </c>
      <c r="M149" s="10" t="s">
        <v>109</v>
      </c>
    </row>
    <row r="150" spans="1:13" hidden="1">
      <c r="A150" t="s">
        <v>30</v>
      </c>
      <c r="B150">
        <v>2019</v>
      </c>
      <c r="C150" t="s">
        <v>31</v>
      </c>
      <c r="D150" s="3">
        <v>1759.6000000000001</v>
      </c>
      <c r="E150" s="3">
        <v>162.69999999999999</v>
      </c>
      <c r="F150" s="3">
        <v>445.6</v>
      </c>
      <c r="G150" s="3">
        <v>150.69999999999999</v>
      </c>
      <c r="H150" s="3">
        <v>146.19999999999999</v>
      </c>
      <c r="I150" s="3">
        <v>149.6</v>
      </c>
      <c r="J150" s="3">
        <v>155.19999999999999</v>
      </c>
      <c r="K150" s="3">
        <v>696.8</v>
      </c>
      <c r="L150" s="3">
        <v>141</v>
      </c>
      <c r="M150" s="10" t="s">
        <v>110</v>
      </c>
    </row>
    <row r="151" spans="1:13" hidden="1">
      <c r="A151" t="s">
        <v>33</v>
      </c>
      <c r="B151">
        <v>2019</v>
      </c>
      <c r="C151" t="s">
        <v>31</v>
      </c>
      <c r="D151" s="3">
        <v>1744.3000000000002</v>
      </c>
      <c r="E151" s="3">
        <v>164.7</v>
      </c>
      <c r="F151" s="3">
        <v>414.5</v>
      </c>
      <c r="G151" s="3">
        <v>147.69999999999999</v>
      </c>
      <c r="H151" s="3">
        <v>128.6</v>
      </c>
      <c r="I151" s="3">
        <v>137.80000000000001</v>
      </c>
      <c r="J151" s="3">
        <v>146.6</v>
      </c>
      <c r="K151" s="3">
        <v>650.29999999999995</v>
      </c>
      <c r="L151" s="3">
        <v>138</v>
      </c>
      <c r="M151" s="10" t="s">
        <v>110</v>
      </c>
    </row>
    <row r="152" spans="1:13" hidden="1">
      <c r="A152" t="s">
        <v>30</v>
      </c>
      <c r="B152">
        <v>2019</v>
      </c>
      <c r="C152" t="s">
        <v>35</v>
      </c>
      <c r="D152" s="3">
        <v>1759.8000000000002</v>
      </c>
      <c r="E152" s="3">
        <v>162.80000000000001</v>
      </c>
      <c r="F152" s="3">
        <v>446.5</v>
      </c>
      <c r="G152" s="3">
        <v>150.69999999999999</v>
      </c>
      <c r="H152" s="3">
        <v>145.30000000000001</v>
      </c>
      <c r="I152" s="3">
        <v>149.9</v>
      </c>
      <c r="J152" s="3">
        <v>155.5</v>
      </c>
      <c r="K152" s="3">
        <v>699.8</v>
      </c>
      <c r="L152" s="3">
        <v>141</v>
      </c>
      <c r="M152" s="10" t="s">
        <v>111</v>
      </c>
    </row>
    <row r="153" spans="1:13" hidden="1">
      <c r="A153" t="s">
        <v>33</v>
      </c>
      <c r="B153">
        <v>2019</v>
      </c>
      <c r="C153" t="s">
        <v>35</v>
      </c>
      <c r="D153" s="3">
        <v>1754.4</v>
      </c>
      <c r="E153" s="3">
        <v>164.9</v>
      </c>
      <c r="F153" s="3">
        <v>415.5</v>
      </c>
      <c r="G153" s="3">
        <v>148.5</v>
      </c>
      <c r="H153" s="3">
        <v>127.1</v>
      </c>
      <c r="I153" s="3">
        <v>138.5</v>
      </c>
      <c r="J153" s="3">
        <v>146.6</v>
      </c>
      <c r="K153" s="3">
        <v>653.4</v>
      </c>
      <c r="L153" s="3">
        <v>138.6</v>
      </c>
      <c r="M153" s="10" t="s">
        <v>111</v>
      </c>
    </row>
    <row r="154" spans="1:13" hidden="1">
      <c r="A154" t="s">
        <v>30</v>
      </c>
      <c r="B154">
        <v>2019</v>
      </c>
      <c r="C154" t="s">
        <v>46</v>
      </c>
      <c r="D154" s="3">
        <v>1940.9999999999995</v>
      </c>
      <c r="E154" s="3">
        <v>167.8</v>
      </c>
      <c r="F154" s="3">
        <v>451.79999999999995</v>
      </c>
      <c r="G154" s="3">
        <v>150.69999999999999</v>
      </c>
      <c r="H154" s="3">
        <v>149.9</v>
      </c>
      <c r="I154" s="3">
        <v>154.80000000000001</v>
      </c>
      <c r="J154" s="3">
        <v>161.1</v>
      </c>
      <c r="K154" s="3">
        <v>723.4</v>
      </c>
      <c r="L154" s="3">
        <v>152.30000000000001</v>
      </c>
      <c r="M154" s="10" t="s">
        <v>112</v>
      </c>
    </row>
    <row r="155" spans="1:13" hidden="1">
      <c r="A155" t="s">
        <v>33</v>
      </c>
      <c r="B155">
        <v>2019</v>
      </c>
      <c r="C155" t="s">
        <v>46</v>
      </c>
      <c r="D155" s="3">
        <v>1956.7</v>
      </c>
      <c r="E155" s="3">
        <v>170.4</v>
      </c>
      <c r="F155" s="3">
        <v>424.20000000000005</v>
      </c>
      <c r="G155" s="3">
        <v>152.80000000000001</v>
      </c>
      <c r="H155" s="3">
        <v>133.6</v>
      </c>
      <c r="I155" s="3">
        <v>143.19999999999999</v>
      </c>
      <c r="J155" s="3">
        <v>151.9</v>
      </c>
      <c r="K155" s="3">
        <v>679.7</v>
      </c>
      <c r="L155" s="3">
        <v>148.30000000000001</v>
      </c>
      <c r="M155" s="10" t="s">
        <v>112</v>
      </c>
    </row>
    <row r="156" spans="1:13" hidden="1">
      <c r="A156" t="s">
        <v>30</v>
      </c>
      <c r="B156">
        <v>2019</v>
      </c>
      <c r="C156" t="s">
        <v>41</v>
      </c>
      <c r="D156" s="3">
        <v>1834.5000000000002</v>
      </c>
      <c r="E156" s="3">
        <v>165.1</v>
      </c>
      <c r="F156" s="3">
        <v>449.5</v>
      </c>
      <c r="G156" s="3">
        <v>150.69999999999999</v>
      </c>
      <c r="H156" s="3">
        <v>146.4</v>
      </c>
      <c r="I156" s="3">
        <v>152.69999999999999</v>
      </c>
      <c r="J156" s="3">
        <v>159.69999999999999</v>
      </c>
      <c r="K156" s="3">
        <v>713.30000000000007</v>
      </c>
      <c r="L156" s="3">
        <v>145.69999999999999</v>
      </c>
      <c r="M156" s="10" t="s">
        <v>113</v>
      </c>
    </row>
    <row r="157" spans="1:13" hidden="1">
      <c r="A157" t="s">
        <v>33</v>
      </c>
      <c r="B157">
        <v>2019</v>
      </c>
      <c r="C157" t="s">
        <v>41</v>
      </c>
      <c r="D157" s="3">
        <v>1869.1</v>
      </c>
      <c r="E157" s="3">
        <v>167.9</v>
      </c>
      <c r="F157" s="3">
        <v>420.2</v>
      </c>
      <c r="G157" s="3">
        <v>151.6</v>
      </c>
      <c r="H157" s="3">
        <v>125.5</v>
      </c>
      <c r="I157" s="3">
        <v>141.5</v>
      </c>
      <c r="J157" s="3">
        <v>151.5</v>
      </c>
      <c r="K157" s="3">
        <v>667.39999999999986</v>
      </c>
      <c r="L157" s="3">
        <v>144.19999999999999</v>
      </c>
      <c r="M157" s="10" t="s">
        <v>113</v>
      </c>
    </row>
    <row r="158" spans="1:13" hidden="1">
      <c r="A158" t="s">
        <v>34</v>
      </c>
      <c r="B158">
        <v>2018</v>
      </c>
      <c r="C158" t="s">
        <v>42</v>
      </c>
      <c r="D158" s="3">
        <v>1779.5</v>
      </c>
      <c r="E158" s="3">
        <v>159.19999999999999</v>
      </c>
      <c r="F158" s="3">
        <v>433.29999999999995</v>
      </c>
      <c r="G158" s="3">
        <v>145.30000000000001</v>
      </c>
      <c r="H158" s="3">
        <v>142.30000000000001</v>
      </c>
      <c r="I158" s="3">
        <v>138.4</v>
      </c>
      <c r="J158" s="3">
        <v>146.19999999999999</v>
      </c>
      <c r="K158" s="3">
        <v>665.8</v>
      </c>
      <c r="L158" s="3">
        <v>140.19999999999999</v>
      </c>
      <c r="M158" s="10" t="s">
        <v>114</v>
      </c>
    </row>
    <row r="159" spans="1:13" hidden="1">
      <c r="A159" t="s">
        <v>34</v>
      </c>
      <c r="B159">
        <v>2018</v>
      </c>
      <c r="C159" t="s">
        <v>43</v>
      </c>
      <c r="D159" s="3">
        <v>1776.2</v>
      </c>
      <c r="E159" s="3">
        <v>162.6</v>
      </c>
      <c r="F159" s="3">
        <v>434</v>
      </c>
      <c r="G159" s="3">
        <v>146.9</v>
      </c>
      <c r="H159" s="3">
        <v>145.30000000000001</v>
      </c>
      <c r="I159" s="3">
        <v>142.1</v>
      </c>
      <c r="J159" s="3">
        <v>147.80000000000001</v>
      </c>
      <c r="K159" s="3">
        <v>672.5</v>
      </c>
      <c r="L159" s="3">
        <v>140.80000000000001</v>
      </c>
      <c r="M159" s="10" t="s">
        <v>115</v>
      </c>
    </row>
    <row r="160" spans="1:13" hidden="1">
      <c r="A160" t="s">
        <v>34</v>
      </c>
      <c r="B160">
        <v>2018</v>
      </c>
      <c r="C160" t="s">
        <v>45</v>
      </c>
      <c r="D160" s="3">
        <v>1775.7000000000003</v>
      </c>
      <c r="E160" s="3">
        <v>162.6</v>
      </c>
      <c r="F160" s="3">
        <v>433.8</v>
      </c>
      <c r="G160" s="3">
        <v>146.9</v>
      </c>
      <c r="H160" s="3">
        <v>145.1</v>
      </c>
      <c r="I160" s="3">
        <v>142.1</v>
      </c>
      <c r="J160" s="3">
        <v>147.80000000000001</v>
      </c>
      <c r="K160" s="3">
        <v>672.5</v>
      </c>
      <c r="L160" s="3">
        <v>140.80000000000001</v>
      </c>
      <c r="M160" s="10" t="s">
        <v>116</v>
      </c>
    </row>
    <row r="161" spans="1:13" hidden="1">
      <c r="A161" t="s">
        <v>34</v>
      </c>
      <c r="B161">
        <v>2018</v>
      </c>
      <c r="C161" t="s">
        <v>38</v>
      </c>
      <c r="D161" s="3">
        <v>1759.8</v>
      </c>
      <c r="E161" s="3">
        <v>157.9</v>
      </c>
      <c r="F161" s="3">
        <v>428.09999999999997</v>
      </c>
      <c r="G161" s="3">
        <v>143.19999999999999</v>
      </c>
      <c r="H161" s="3">
        <v>136.9</v>
      </c>
      <c r="I161" s="3">
        <v>136</v>
      </c>
      <c r="J161" s="3">
        <v>142.1</v>
      </c>
      <c r="K161" s="3">
        <v>654.1</v>
      </c>
      <c r="L161" s="3">
        <v>137.80000000000001</v>
      </c>
      <c r="M161" s="10" t="s">
        <v>117</v>
      </c>
    </row>
    <row r="162" spans="1:13" hidden="1">
      <c r="A162" t="s">
        <v>34</v>
      </c>
      <c r="B162">
        <v>2018</v>
      </c>
      <c r="C162" t="s">
        <v>36</v>
      </c>
      <c r="D162" s="3">
        <v>1756</v>
      </c>
      <c r="E162" s="3">
        <v>156.30000000000001</v>
      </c>
      <c r="F162" s="3">
        <v>423.6</v>
      </c>
      <c r="G162" s="3">
        <v>142</v>
      </c>
      <c r="H162" s="3">
        <v>136.5</v>
      </c>
      <c r="I162" s="3">
        <v>134.30000000000001</v>
      </c>
      <c r="J162" s="3">
        <v>139.80000000000001</v>
      </c>
      <c r="K162" s="3">
        <v>645.5</v>
      </c>
      <c r="L162" s="3">
        <v>136.5</v>
      </c>
      <c r="M162" s="10" t="s">
        <v>118</v>
      </c>
    </row>
    <row r="163" spans="1:13" hidden="1">
      <c r="A163" t="s">
        <v>34</v>
      </c>
      <c r="B163">
        <v>2018</v>
      </c>
      <c r="C163" t="s">
        <v>39</v>
      </c>
      <c r="D163" s="3">
        <v>1774.1000000000001</v>
      </c>
      <c r="E163" s="3">
        <v>158.30000000000001</v>
      </c>
      <c r="F163" s="3">
        <v>429.7</v>
      </c>
      <c r="G163" s="3">
        <v>142.5</v>
      </c>
      <c r="H163" s="3">
        <v>138.1</v>
      </c>
      <c r="I163" s="3">
        <v>136.19999999999999</v>
      </c>
      <c r="J163" s="3">
        <v>142.80000000000001</v>
      </c>
      <c r="K163" s="3">
        <v>656.90000000000009</v>
      </c>
      <c r="L163" s="3">
        <v>138.5</v>
      </c>
      <c r="M163" s="10" t="s">
        <v>119</v>
      </c>
    </row>
    <row r="164" spans="1:13" hidden="1">
      <c r="A164" t="s">
        <v>34</v>
      </c>
      <c r="B164">
        <v>2018</v>
      </c>
      <c r="C164" t="s">
        <v>40</v>
      </c>
      <c r="D164" s="3">
        <v>1795.3</v>
      </c>
      <c r="E164" s="3">
        <v>157.5</v>
      </c>
      <c r="F164" s="3">
        <v>430.80000000000007</v>
      </c>
      <c r="G164" s="3">
        <v>143.6</v>
      </c>
      <c r="H164" s="3">
        <v>139.69999999999999</v>
      </c>
      <c r="I164" s="3">
        <v>137</v>
      </c>
      <c r="J164" s="3">
        <v>144.69999999999999</v>
      </c>
      <c r="K164" s="3">
        <v>658.59999999999991</v>
      </c>
      <c r="L164" s="3">
        <v>139.80000000000001</v>
      </c>
      <c r="M164" s="10" t="s">
        <v>120</v>
      </c>
    </row>
    <row r="165" spans="1:13" hidden="1">
      <c r="A165" t="s">
        <v>34</v>
      </c>
      <c r="B165">
        <v>2018</v>
      </c>
      <c r="C165" t="s">
        <v>31</v>
      </c>
      <c r="D165" s="3">
        <v>1779.9</v>
      </c>
      <c r="E165" s="3">
        <v>154.69999999999999</v>
      </c>
      <c r="F165" s="3">
        <v>421.3</v>
      </c>
      <c r="G165" s="3">
        <v>140.4</v>
      </c>
      <c r="H165" s="3">
        <v>136.6</v>
      </c>
      <c r="I165" s="3">
        <v>133.30000000000001</v>
      </c>
      <c r="J165" s="3">
        <v>139</v>
      </c>
      <c r="K165" s="3">
        <v>640.29999999999995</v>
      </c>
      <c r="L165" s="3">
        <v>136.9</v>
      </c>
      <c r="M165" s="10" t="s">
        <v>121</v>
      </c>
    </row>
    <row r="166" spans="1:13" hidden="1">
      <c r="A166" t="s">
        <v>34</v>
      </c>
      <c r="B166">
        <v>2018</v>
      </c>
      <c r="C166" t="s">
        <v>35</v>
      </c>
      <c r="D166" s="3">
        <v>1760.3999999999996</v>
      </c>
      <c r="E166" s="3">
        <v>154.9</v>
      </c>
      <c r="F166" s="3">
        <v>422</v>
      </c>
      <c r="G166" s="3">
        <v>141.30000000000001</v>
      </c>
      <c r="H166" s="3">
        <v>136.69999999999999</v>
      </c>
      <c r="I166" s="3">
        <v>133.80000000000001</v>
      </c>
      <c r="J166" s="3">
        <v>139</v>
      </c>
      <c r="K166" s="3">
        <v>642.6</v>
      </c>
      <c r="L166" s="3">
        <v>136.4</v>
      </c>
      <c r="M166" s="10" t="s">
        <v>122</v>
      </c>
    </row>
    <row r="167" spans="1:13" hidden="1">
      <c r="A167" t="s">
        <v>34</v>
      </c>
      <c r="B167">
        <v>2018</v>
      </c>
      <c r="C167" t="s">
        <v>46</v>
      </c>
      <c r="D167" s="3">
        <v>1762.7999999999997</v>
      </c>
      <c r="E167" s="3">
        <v>163</v>
      </c>
      <c r="F167" s="3">
        <v>434.3</v>
      </c>
      <c r="G167" s="3">
        <v>146.5</v>
      </c>
      <c r="H167" s="3">
        <v>142.69999999999999</v>
      </c>
      <c r="I167" s="3">
        <v>144.9</v>
      </c>
      <c r="J167" s="3">
        <v>150.1</v>
      </c>
      <c r="K167" s="3">
        <v>672.59999999999991</v>
      </c>
      <c r="L167" s="3">
        <v>140.1</v>
      </c>
      <c r="M167" s="10" t="s">
        <v>123</v>
      </c>
    </row>
    <row r="168" spans="1:13" hidden="1">
      <c r="A168" t="s">
        <v>34</v>
      </c>
      <c r="B168">
        <v>2018</v>
      </c>
      <c r="C168" t="s">
        <v>41</v>
      </c>
      <c r="D168" s="3">
        <v>1798.7000000000003</v>
      </c>
      <c r="E168" s="3">
        <v>157.9</v>
      </c>
      <c r="F168" s="3">
        <v>432.20000000000005</v>
      </c>
      <c r="G168" s="3">
        <v>144.6</v>
      </c>
      <c r="H168" s="3">
        <v>140.9</v>
      </c>
      <c r="I168" s="3">
        <v>137.69999999999999</v>
      </c>
      <c r="J168" s="3">
        <v>146</v>
      </c>
      <c r="K168" s="3">
        <v>661.3</v>
      </c>
      <c r="L168" s="3">
        <v>140.4</v>
      </c>
      <c r="M168" s="10" t="s">
        <v>124</v>
      </c>
    </row>
    <row r="169" spans="1:13" hidden="1">
      <c r="A169" t="s">
        <v>34</v>
      </c>
      <c r="B169">
        <v>2018</v>
      </c>
      <c r="C169" t="s">
        <v>37</v>
      </c>
      <c r="D169" s="3">
        <v>1757.1000000000001</v>
      </c>
      <c r="E169" s="3">
        <v>156.9</v>
      </c>
      <c r="F169" s="3">
        <v>426</v>
      </c>
      <c r="G169" s="3">
        <v>142.9</v>
      </c>
      <c r="H169" s="3">
        <v>136.5</v>
      </c>
      <c r="I169" s="3">
        <v>135.19999999999999</v>
      </c>
      <c r="J169" s="3">
        <v>141.4</v>
      </c>
      <c r="K169" s="3">
        <v>650.29999999999995</v>
      </c>
      <c r="L169" s="3">
        <v>137.1</v>
      </c>
      <c r="M169" s="10" t="s">
        <v>125</v>
      </c>
    </row>
    <row r="170" spans="1:13" hidden="1">
      <c r="A170" t="s">
        <v>30</v>
      </c>
      <c r="B170">
        <v>2018</v>
      </c>
      <c r="C170" t="s">
        <v>42</v>
      </c>
      <c r="D170" s="3">
        <v>1799.8000000000002</v>
      </c>
      <c r="E170" s="3">
        <v>157.69999999999999</v>
      </c>
      <c r="F170" s="3">
        <v>449.5</v>
      </c>
      <c r="G170" s="3">
        <v>143.80000000000001</v>
      </c>
      <c r="H170" s="3">
        <v>149</v>
      </c>
      <c r="I170" s="3">
        <v>140</v>
      </c>
      <c r="J170" s="3">
        <v>147.6</v>
      </c>
      <c r="K170" s="3">
        <v>683.3</v>
      </c>
      <c r="L170" s="3">
        <v>142.1</v>
      </c>
      <c r="M170" s="10" t="s">
        <v>114</v>
      </c>
    </row>
    <row r="171" spans="1:13" hidden="1">
      <c r="A171" t="s">
        <v>33</v>
      </c>
      <c r="B171">
        <v>2018</v>
      </c>
      <c r="C171" t="s">
        <v>42</v>
      </c>
      <c r="D171" s="3">
        <v>1748.4</v>
      </c>
      <c r="E171" s="3">
        <v>163.30000000000001</v>
      </c>
      <c r="F171" s="3">
        <v>409.20000000000005</v>
      </c>
      <c r="G171" s="3">
        <v>145.30000000000001</v>
      </c>
      <c r="H171" s="3">
        <v>131.19999999999999</v>
      </c>
      <c r="I171" s="3">
        <v>135.69999999999999</v>
      </c>
      <c r="J171" s="3">
        <v>145.19999999999999</v>
      </c>
      <c r="K171" s="3">
        <v>648.79999999999995</v>
      </c>
      <c r="L171" s="3">
        <v>138.1</v>
      </c>
      <c r="M171" s="10" t="s">
        <v>114</v>
      </c>
    </row>
    <row r="172" spans="1:13" hidden="1">
      <c r="A172" t="s">
        <v>30</v>
      </c>
      <c r="B172">
        <v>2018</v>
      </c>
      <c r="C172" t="s">
        <v>43</v>
      </c>
      <c r="D172" s="3">
        <v>1782.2</v>
      </c>
      <c r="E172" s="3">
        <v>159.6</v>
      </c>
      <c r="F172" s="3">
        <v>445</v>
      </c>
      <c r="G172" s="3">
        <v>143.80000000000001</v>
      </c>
      <c r="H172" s="3">
        <v>149.69999999999999</v>
      </c>
      <c r="I172" s="3">
        <v>144.80000000000001</v>
      </c>
      <c r="J172" s="3">
        <v>148</v>
      </c>
      <c r="K172" s="3">
        <v>692.59999999999991</v>
      </c>
      <c r="L172" s="3">
        <v>142.19999999999999</v>
      </c>
      <c r="M172" s="10" t="s">
        <v>115</v>
      </c>
    </row>
    <row r="173" spans="1:13" hidden="1">
      <c r="A173" t="s">
        <v>33</v>
      </c>
      <c r="B173">
        <v>2018</v>
      </c>
      <c r="C173" t="s">
        <v>43</v>
      </c>
      <c r="D173" s="3">
        <v>1754.1</v>
      </c>
      <c r="E173" s="3">
        <v>164</v>
      </c>
      <c r="F173" s="3">
        <v>411</v>
      </c>
      <c r="G173" s="3">
        <v>146.30000000000001</v>
      </c>
      <c r="H173" s="3">
        <v>133.4</v>
      </c>
      <c r="I173" s="3">
        <v>136.19999999999999</v>
      </c>
      <c r="J173" s="3">
        <v>145.5</v>
      </c>
      <c r="K173" s="3">
        <v>652</v>
      </c>
      <c r="L173" s="3">
        <v>138.9</v>
      </c>
      <c r="M173" s="10" t="s">
        <v>115</v>
      </c>
    </row>
    <row r="174" spans="1:13" hidden="1">
      <c r="A174" t="s">
        <v>30</v>
      </c>
      <c r="B174">
        <v>2018</v>
      </c>
      <c r="C174" t="s">
        <v>45</v>
      </c>
      <c r="D174" s="3">
        <v>1787.4999999999995</v>
      </c>
      <c r="E174" s="3">
        <v>161.9</v>
      </c>
      <c r="F174" s="3">
        <v>448</v>
      </c>
      <c r="G174" s="3">
        <v>143.80000000000001</v>
      </c>
      <c r="H174" s="3">
        <v>150.30000000000001</v>
      </c>
      <c r="I174" s="3">
        <v>145.4</v>
      </c>
      <c r="J174" s="3">
        <v>150.19999999999999</v>
      </c>
      <c r="K174" s="3">
        <v>694.6</v>
      </c>
      <c r="L174" s="3">
        <v>142.4</v>
      </c>
      <c r="M174" s="10" t="s">
        <v>116</v>
      </c>
    </row>
    <row r="175" spans="1:13" hidden="1">
      <c r="A175" t="s">
        <v>33</v>
      </c>
      <c r="B175">
        <v>2018</v>
      </c>
      <c r="C175" t="s">
        <v>45</v>
      </c>
      <c r="D175" s="3">
        <v>1757.4999999999998</v>
      </c>
      <c r="E175" s="3">
        <v>164.4</v>
      </c>
      <c r="F175" s="3">
        <v>413.1</v>
      </c>
      <c r="G175" s="3">
        <v>146.9</v>
      </c>
      <c r="H175" s="3">
        <v>136.69999999999999</v>
      </c>
      <c r="I175" s="3">
        <v>136.80000000000001</v>
      </c>
      <c r="J175" s="3">
        <v>146.1</v>
      </c>
      <c r="K175" s="3">
        <v>651</v>
      </c>
      <c r="L175" s="3">
        <v>139</v>
      </c>
      <c r="M175" s="10" t="s">
        <v>116</v>
      </c>
    </row>
    <row r="176" spans="1:13" hidden="1">
      <c r="A176" t="s">
        <v>30</v>
      </c>
      <c r="B176">
        <v>2018</v>
      </c>
      <c r="C176" t="s">
        <v>38</v>
      </c>
      <c r="D176" s="3">
        <v>1782.4</v>
      </c>
      <c r="E176" s="3">
        <v>157</v>
      </c>
      <c r="F176" s="3">
        <v>444.7</v>
      </c>
      <c r="G176" s="3">
        <v>143.80000000000001</v>
      </c>
      <c r="H176" s="3">
        <v>144.30000000000001</v>
      </c>
      <c r="I176" s="3">
        <v>138.4</v>
      </c>
      <c r="J176" s="3">
        <v>144.4</v>
      </c>
      <c r="K176" s="3">
        <v>671.30000000000007</v>
      </c>
      <c r="L176" s="3">
        <v>139.80000000000001</v>
      </c>
      <c r="M176" s="10" t="s">
        <v>117</v>
      </c>
    </row>
    <row r="177" spans="1:13" hidden="1">
      <c r="A177" t="s">
        <v>33</v>
      </c>
      <c r="B177">
        <v>2018</v>
      </c>
      <c r="C177" t="s">
        <v>38</v>
      </c>
      <c r="D177" s="3">
        <v>1722.8999999999999</v>
      </c>
      <c r="E177" s="3">
        <v>160.30000000000001</v>
      </c>
      <c r="F177" s="3">
        <v>403.5</v>
      </c>
      <c r="G177" s="3">
        <v>143.19999999999999</v>
      </c>
      <c r="H177" s="3">
        <v>124.7</v>
      </c>
      <c r="I177" s="3">
        <v>132</v>
      </c>
      <c r="J177" s="3">
        <v>140.4</v>
      </c>
      <c r="K177" s="3">
        <v>637.29999999999995</v>
      </c>
      <c r="L177" s="3">
        <v>135.4</v>
      </c>
      <c r="M177" s="10" t="s">
        <v>117</v>
      </c>
    </row>
    <row r="178" spans="1:13" hidden="1">
      <c r="A178" t="s">
        <v>30</v>
      </c>
      <c r="B178">
        <v>2018</v>
      </c>
      <c r="C178" t="s">
        <v>36</v>
      </c>
      <c r="D178" s="3">
        <v>1781.9999999999998</v>
      </c>
      <c r="E178" s="3">
        <v>155.1</v>
      </c>
      <c r="F178" s="3">
        <v>440.5</v>
      </c>
      <c r="G178" s="3">
        <v>143.80000000000001</v>
      </c>
      <c r="H178" s="3">
        <v>142.6</v>
      </c>
      <c r="I178" s="3">
        <v>136.69999999999999</v>
      </c>
      <c r="J178" s="3">
        <v>142.69999999999999</v>
      </c>
      <c r="K178" s="3">
        <v>662.2</v>
      </c>
      <c r="L178" s="3">
        <v>138.69999999999999</v>
      </c>
      <c r="M178" s="10" t="s">
        <v>118</v>
      </c>
    </row>
    <row r="179" spans="1:13" hidden="1">
      <c r="A179" t="s">
        <v>33</v>
      </c>
      <c r="B179">
        <v>2018</v>
      </c>
      <c r="C179" t="s">
        <v>36</v>
      </c>
      <c r="D179" s="3">
        <v>1715.5</v>
      </c>
      <c r="E179" s="3">
        <v>159.69999999999999</v>
      </c>
      <c r="F179" s="3">
        <v>398.59999999999997</v>
      </c>
      <c r="G179" s="3">
        <v>142</v>
      </c>
      <c r="H179" s="3">
        <v>126.4</v>
      </c>
      <c r="I179" s="3">
        <v>130.5</v>
      </c>
      <c r="J179" s="3">
        <v>137.80000000000001</v>
      </c>
      <c r="K179" s="3">
        <v>629.20000000000005</v>
      </c>
      <c r="L179" s="3">
        <v>134</v>
      </c>
      <c r="M179" s="10" t="s">
        <v>118</v>
      </c>
    </row>
    <row r="180" spans="1:13" hidden="1">
      <c r="A180" t="s">
        <v>30</v>
      </c>
      <c r="B180">
        <v>2018</v>
      </c>
      <c r="C180" t="s">
        <v>39</v>
      </c>
      <c r="D180" s="3">
        <v>1790.2999999999997</v>
      </c>
      <c r="E180" s="3">
        <v>157.30000000000001</v>
      </c>
      <c r="F180" s="3">
        <v>446.3</v>
      </c>
      <c r="G180" s="3">
        <v>143.80000000000001</v>
      </c>
      <c r="H180" s="3">
        <v>145.1</v>
      </c>
      <c r="I180" s="3">
        <v>138.4</v>
      </c>
      <c r="J180" s="3">
        <v>145.1</v>
      </c>
      <c r="K180" s="3">
        <v>674.40000000000009</v>
      </c>
      <c r="L180" s="3">
        <v>140.5</v>
      </c>
      <c r="M180" s="10" t="s">
        <v>119</v>
      </c>
    </row>
    <row r="181" spans="1:13" hidden="1">
      <c r="A181" t="s">
        <v>33</v>
      </c>
      <c r="B181">
        <v>2018</v>
      </c>
      <c r="C181" t="s">
        <v>39</v>
      </c>
      <c r="D181" s="3">
        <v>1747.3000000000002</v>
      </c>
      <c r="E181" s="3">
        <v>161</v>
      </c>
      <c r="F181" s="3">
        <v>405</v>
      </c>
      <c r="G181" s="3">
        <v>142.5</v>
      </c>
      <c r="H181" s="3">
        <v>126.5</v>
      </c>
      <c r="I181" s="3">
        <v>132.6</v>
      </c>
      <c r="J181" s="3">
        <v>141.19999999999999</v>
      </c>
      <c r="K181" s="3">
        <v>639.70000000000005</v>
      </c>
      <c r="L181" s="3">
        <v>136.19999999999999</v>
      </c>
      <c r="M181" s="10" t="s">
        <v>119</v>
      </c>
    </row>
    <row r="182" spans="1:13" hidden="1">
      <c r="A182" t="s">
        <v>30</v>
      </c>
      <c r="B182">
        <v>2018</v>
      </c>
      <c r="C182" t="s">
        <v>40</v>
      </c>
      <c r="D182" s="3">
        <v>1810.5000000000002</v>
      </c>
      <c r="E182" s="3">
        <v>156.1</v>
      </c>
      <c r="F182" s="3">
        <v>447.20000000000005</v>
      </c>
      <c r="G182" s="3">
        <v>143.80000000000001</v>
      </c>
      <c r="H182" s="3">
        <v>146.80000000000001</v>
      </c>
      <c r="I182" s="3">
        <v>139</v>
      </c>
      <c r="J182" s="3">
        <v>145.80000000000001</v>
      </c>
      <c r="K182" s="3">
        <v>676.4</v>
      </c>
      <c r="L182" s="3">
        <v>141.80000000000001</v>
      </c>
      <c r="M182" s="10" t="s">
        <v>120</v>
      </c>
    </row>
    <row r="183" spans="1:13" hidden="1">
      <c r="A183" t="s">
        <v>33</v>
      </c>
      <c r="B183">
        <v>2018</v>
      </c>
      <c r="C183" t="s">
        <v>40</v>
      </c>
      <c r="D183" s="3">
        <v>1771.1</v>
      </c>
      <c r="E183" s="3">
        <v>161.4</v>
      </c>
      <c r="F183" s="3">
        <v>406.4</v>
      </c>
      <c r="G183" s="3">
        <v>143.6</v>
      </c>
      <c r="H183" s="3">
        <v>128.1</v>
      </c>
      <c r="I183" s="3">
        <v>133.6</v>
      </c>
      <c r="J183" s="3">
        <v>144</v>
      </c>
      <c r="K183" s="3">
        <v>641.09999999999991</v>
      </c>
      <c r="L183" s="3">
        <v>137.5</v>
      </c>
      <c r="M183" s="10" t="s">
        <v>120</v>
      </c>
    </row>
    <row r="184" spans="1:13" hidden="1">
      <c r="A184" t="s">
        <v>30</v>
      </c>
      <c r="B184">
        <v>2018</v>
      </c>
      <c r="C184" t="s">
        <v>31</v>
      </c>
      <c r="D184" s="3">
        <v>1800.7</v>
      </c>
      <c r="E184" s="3">
        <v>153.6</v>
      </c>
      <c r="F184" s="3">
        <v>438.1</v>
      </c>
      <c r="G184" s="3">
        <v>143.80000000000001</v>
      </c>
      <c r="H184" s="3">
        <v>142.30000000000001</v>
      </c>
      <c r="I184" s="3">
        <v>136</v>
      </c>
      <c r="J184" s="3">
        <v>141.6</v>
      </c>
      <c r="K184" s="3">
        <v>657.7</v>
      </c>
      <c r="L184" s="3">
        <v>139.30000000000001</v>
      </c>
      <c r="M184" s="10" t="s">
        <v>121</v>
      </c>
    </row>
    <row r="185" spans="1:13" hidden="1">
      <c r="A185" t="s">
        <v>33</v>
      </c>
      <c r="B185">
        <v>2018</v>
      </c>
      <c r="C185" t="s">
        <v>31</v>
      </c>
      <c r="D185" s="3">
        <v>1748.3000000000002</v>
      </c>
      <c r="E185" s="3">
        <v>157.69999999999999</v>
      </c>
      <c r="F185" s="3">
        <v>396.29999999999995</v>
      </c>
      <c r="G185" s="3">
        <v>140.4</v>
      </c>
      <c r="H185" s="3">
        <v>127.3</v>
      </c>
      <c r="I185" s="3">
        <v>129</v>
      </c>
      <c r="J185" s="3">
        <v>137.1</v>
      </c>
      <c r="K185" s="3">
        <v>623.29999999999995</v>
      </c>
      <c r="L185" s="3">
        <v>134.1</v>
      </c>
      <c r="M185" s="10" t="s">
        <v>121</v>
      </c>
    </row>
    <row r="186" spans="1:13" hidden="1">
      <c r="A186" t="s">
        <v>30</v>
      </c>
      <c r="B186">
        <v>2018</v>
      </c>
      <c r="C186" t="s">
        <v>35</v>
      </c>
      <c r="D186" s="3">
        <v>1781.5</v>
      </c>
      <c r="E186" s="3">
        <v>153.30000000000001</v>
      </c>
      <c r="F186" s="3">
        <v>438.90000000000003</v>
      </c>
      <c r="G186" s="3">
        <v>143.80000000000001</v>
      </c>
      <c r="H186" s="3">
        <v>142.4</v>
      </c>
      <c r="I186" s="3">
        <v>136.19999999999999</v>
      </c>
      <c r="J186" s="3">
        <v>141.5</v>
      </c>
      <c r="K186" s="3">
        <v>658.8</v>
      </c>
      <c r="L186" s="3">
        <v>138.5</v>
      </c>
      <c r="M186" s="10" t="s">
        <v>122</v>
      </c>
    </row>
    <row r="187" spans="1:13" hidden="1">
      <c r="A187" t="s">
        <v>33</v>
      </c>
      <c r="B187">
        <v>2018</v>
      </c>
      <c r="C187" t="s">
        <v>35</v>
      </c>
      <c r="D187" s="3">
        <v>1727.9</v>
      </c>
      <c r="E187" s="3">
        <v>159.30000000000001</v>
      </c>
      <c r="F187" s="3">
        <v>397.09999999999997</v>
      </c>
      <c r="G187" s="3">
        <v>141.30000000000001</v>
      </c>
      <c r="H187" s="3">
        <v>127.3</v>
      </c>
      <c r="I187" s="3">
        <v>129.80000000000001</v>
      </c>
      <c r="J187" s="3">
        <v>137.19999999999999</v>
      </c>
      <c r="K187" s="3">
        <v>626.5</v>
      </c>
      <c r="L187" s="3">
        <v>134</v>
      </c>
      <c r="M187" s="10" t="s">
        <v>122</v>
      </c>
    </row>
    <row r="188" spans="1:13" hidden="1">
      <c r="A188" t="s">
        <v>30</v>
      </c>
      <c r="B188">
        <v>2018</v>
      </c>
      <c r="C188" t="s">
        <v>46</v>
      </c>
      <c r="D188" s="3">
        <v>1773.1000000000001</v>
      </c>
      <c r="E188" s="3">
        <v>162.4</v>
      </c>
      <c r="F188" s="3">
        <v>448.3</v>
      </c>
      <c r="G188" s="3">
        <v>143.80000000000001</v>
      </c>
      <c r="H188" s="3">
        <v>149</v>
      </c>
      <c r="I188" s="3">
        <v>149.6</v>
      </c>
      <c r="J188" s="3">
        <v>155.1</v>
      </c>
      <c r="K188" s="3">
        <v>696.5</v>
      </c>
      <c r="L188" s="3">
        <v>141.9</v>
      </c>
      <c r="M188" s="10" t="s">
        <v>123</v>
      </c>
    </row>
    <row r="189" spans="1:13" hidden="1">
      <c r="A189" t="s">
        <v>33</v>
      </c>
      <c r="B189">
        <v>2018</v>
      </c>
      <c r="C189" t="s">
        <v>46</v>
      </c>
      <c r="D189" s="3">
        <v>1746.6</v>
      </c>
      <c r="E189" s="3">
        <v>164.6</v>
      </c>
      <c r="F189" s="3">
        <v>413.8</v>
      </c>
      <c r="G189" s="3">
        <v>146.5</v>
      </c>
      <c r="H189" s="3">
        <v>132.4</v>
      </c>
      <c r="I189" s="3">
        <v>137.30000000000001</v>
      </c>
      <c r="J189" s="3">
        <v>146.5</v>
      </c>
      <c r="K189" s="3">
        <v>649.20000000000005</v>
      </c>
      <c r="L189" s="3">
        <v>138</v>
      </c>
      <c r="M189" s="10" t="s">
        <v>123</v>
      </c>
    </row>
    <row r="190" spans="1:13" hidden="1">
      <c r="A190" t="s">
        <v>30</v>
      </c>
      <c r="B190">
        <v>2018</v>
      </c>
      <c r="C190" t="s">
        <v>41</v>
      </c>
      <c r="D190" s="3">
        <v>1818.8</v>
      </c>
      <c r="E190" s="3">
        <v>156.4</v>
      </c>
      <c r="F190" s="3">
        <v>449.2</v>
      </c>
      <c r="G190" s="3">
        <v>143.80000000000001</v>
      </c>
      <c r="H190" s="3">
        <v>147.69999999999999</v>
      </c>
      <c r="I190" s="3">
        <v>139.4</v>
      </c>
      <c r="J190" s="3">
        <v>146.9</v>
      </c>
      <c r="K190" s="3">
        <v>678.6</v>
      </c>
      <c r="L190" s="3">
        <v>142.5</v>
      </c>
      <c r="M190" s="10" t="s">
        <v>124</v>
      </c>
    </row>
    <row r="191" spans="1:13" hidden="1">
      <c r="A191" t="s">
        <v>33</v>
      </c>
      <c r="B191">
        <v>2018</v>
      </c>
      <c r="C191" t="s">
        <v>41</v>
      </c>
      <c r="D191" s="3">
        <v>1767.6</v>
      </c>
      <c r="E191" s="3">
        <v>162.1</v>
      </c>
      <c r="F191" s="3">
        <v>407.3</v>
      </c>
      <c r="G191" s="3">
        <v>144.6</v>
      </c>
      <c r="H191" s="3">
        <v>129.80000000000001</v>
      </c>
      <c r="I191" s="3">
        <v>134.9</v>
      </c>
      <c r="J191" s="3">
        <v>145.30000000000001</v>
      </c>
      <c r="K191" s="3">
        <v>644.20000000000005</v>
      </c>
      <c r="L191" s="3">
        <v>138</v>
      </c>
      <c r="M191" s="10" t="s">
        <v>124</v>
      </c>
    </row>
    <row r="192" spans="1:13" hidden="1">
      <c r="A192" t="s">
        <v>30</v>
      </c>
      <c r="B192">
        <v>2018</v>
      </c>
      <c r="C192" t="s">
        <v>37</v>
      </c>
      <c r="D192" s="3">
        <v>1780</v>
      </c>
      <c r="E192" s="3">
        <v>156.1</v>
      </c>
      <c r="F192" s="3">
        <v>442.5</v>
      </c>
      <c r="G192" s="3">
        <v>143.80000000000001</v>
      </c>
      <c r="H192" s="3">
        <v>143.80000000000001</v>
      </c>
      <c r="I192" s="3">
        <v>137.6</v>
      </c>
      <c r="J192" s="3">
        <v>143.69999999999999</v>
      </c>
      <c r="K192" s="3">
        <v>666.8</v>
      </c>
      <c r="L192" s="3">
        <v>139.1</v>
      </c>
      <c r="M192" s="10" t="s">
        <v>125</v>
      </c>
    </row>
    <row r="193" spans="1:13" hidden="1">
      <c r="A193" t="s">
        <v>33</v>
      </c>
      <c r="B193">
        <v>2018</v>
      </c>
      <c r="C193" t="s">
        <v>37</v>
      </c>
      <c r="D193" s="3">
        <v>1720.0000000000002</v>
      </c>
      <c r="E193" s="3">
        <v>159.19999999999999</v>
      </c>
      <c r="F193" s="3">
        <v>401.40000000000003</v>
      </c>
      <c r="G193" s="3">
        <v>142.9</v>
      </c>
      <c r="H193" s="3">
        <v>124.6</v>
      </c>
      <c r="I193" s="3">
        <v>131.30000000000001</v>
      </c>
      <c r="J193" s="3">
        <v>139.69999999999999</v>
      </c>
      <c r="K193" s="3">
        <v>634.09999999999991</v>
      </c>
      <c r="L193" s="3">
        <v>134.80000000000001</v>
      </c>
      <c r="M193" s="10" t="s">
        <v>125</v>
      </c>
    </row>
    <row r="194" spans="1:13" hidden="1">
      <c r="A194" t="s">
        <v>34</v>
      </c>
      <c r="B194">
        <v>2017</v>
      </c>
      <c r="C194" t="s">
        <v>42</v>
      </c>
      <c r="D194" s="3">
        <v>1769.9999999999998</v>
      </c>
      <c r="E194" s="3">
        <v>150.80000000000001</v>
      </c>
      <c r="F194" s="3">
        <v>414.5</v>
      </c>
      <c r="G194" s="3">
        <v>135.69999999999999</v>
      </c>
      <c r="H194" s="3">
        <v>131</v>
      </c>
      <c r="I194" s="3">
        <v>130.6</v>
      </c>
      <c r="J194" s="3">
        <v>137.4</v>
      </c>
      <c r="K194" s="3">
        <v>632.70000000000005</v>
      </c>
      <c r="L194" s="3">
        <v>135.19999999999999</v>
      </c>
      <c r="M194" s="10" t="s">
        <v>126</v>
      </c>
    </row>
    <row r="195" spans="1:13" hidden="1">
      <c r="A195" t="s">
        <v>34</v>
      </c>
      <c r="B195">
        <v>2017</v>
      </c>
      <c r="C195" t="s">
        <v>43</v>
      </c>
      <c r="D195" s="3">
        <v>1779.6999999999998</v>
      </c>
      <c r="E195" s="3">
        <v>151.6</v>
      </c>
      <c r="F195" s="3">
        <v>416.90000000000003</v>
      </c>
      <c r="G195" s="3">
        <v>137.30000000000001</v>
      </c>
      <c r="H195" s="3">
        <v>132.19999999999999</v>
      </c>
      <c r="I195" s="3">
        <v>131.30000000000001</v>
      </c>
      <c r="J195" s="3">
        <v>137.9</v>
      </c>
      <c r="K195" s="3">
        <v>633.69999999999993</v>
      </c>
      <c r="L195" s="3">
        <v>136.1</v>
      </c>
      <c r="M195" s="10" t="s">
        <v>127</v>
      </c>
    </row>
    <row r="196" spans="1:13" hidden="1">
      <c r="A196" t="s">
        <v>34</v>
      </c>
      <c r="B196">
        <v>2017</v>
      </c>
      <c r="C196" t="s">
        <v>45</v>
      </c>
      <c r="D196" s="3">
        <v>1808.2</v>
      </c>
      <c r="E196" s="3">
        <v>153.19999999999999</v>
      </c>
      <c r="F196" s="3">
        <v>419.6</v>
      </c>
      <c r="G196" s="3">
        <v>138.6</v>
      </c>
      <c r="H196" s="3">
        <v>135.30000000000001</v>
      </c>
      <c r="I196" s="3">
        <v>132.6</v>
      </c>
      <c r="J196" s="3">
        <v>138.6</v>
      </c>
      <c r="K196" s="3">
        <v>636.80000000000007</v>
      </c>
      <c r="L196" s="3">
        <v>137.6</v>
      </c>
      <c r="M196" s="10" t="s">
        <v>128</v>
      </c>
    </row>
    <row r="197" spans="1:13" hidden="1">
      <c r="A197" t="s">
        <v>34</v>
      </c>
      <c r="B197">
        <v>2017</v>
      </c>
      <c r="C197" t="s">
        <v>38</v>
      </c>
      <c r="D197" s="3">
        <v>1719.6000000000001</v>
      </c>
      <c r="E197" s="3">
        <v>146.19999999999999</v>
      </c>
      <c r="F197" s="3">
        <v>406.8</v>
      </c>
      <c r="G197" s="3">
        <v>132.1</v>
      </c>
      <c r="H197" s="3">
        <v>129.4</v>
      </c>
      <c r="I197" s="3">
        <v>128.4</v>
      </c>
      <c r="J197" s="3">
        <v>134.80000000000001</v>
      </c>
      <c r="K197" s="3">
        <v>621.6</v>
      </c>
      <c r="L197" s="3">
        <v>131.4</v>
      </c>
      <c r="M197" s="10" t="s">
        <v>129</v>
      </c>
    </row>
    <row r="198" spans="1:13" hidden="1">
      <c r="A198" t="s">
        <v>34</v>
      </c>
      <c r="B198">
        <v>2017</v>
      </c>
      <c r="C198" t="s">
        <v>36</v>
      </c>
      <c r="D198" s="3">
        <v>1718.9</v>
      </c>
      <c r="E198" s="3">
        <v>145.1</v>
      </c>
      <c r="F198" s="3">
        <v>404.29999999999995</v>
      </c>
      <c r="G198" s="3">
        <v>131.1</v>
      </c>
      <c r="H198" s="3">
        <v>129.1</v>
      </c>
      <c r="I198" s="3">
        <v>127.8</v>
      </c>
      <c r="J198" s="3">
        <v>133.80000000000001</v>
      </c>
      <c r="K198" s="3">
        <v>620.4</v>
      </c>
      <c r="L198" s="3">
        <v>130.9</v>
      </c>
      <c r="M198" s="10" t="s">
        <v>130</v>
      </c>
    </row>
    <row r="199" spans="1:13" hidden="1">
      <c r="A199" t="s">
        <v>34</v>
      </c>
      <c r="B199">
        <v>2017</v>
      </c>
      <c r="C199" t="s">
        <v>39</v>
      </c>
      <c r="D199" s="3">
        <v>1734.7</v>
      </c>
      <c r="E199" s="3">
        <v>146.5</v>
      </c>
      <c r="F199" s="3">
        <v>407.7</v>
      </c>
      <c r="G199" s="3">
        <v>131.4</v>
      </c>
      <c r="H199" s="3">
        <v>128.80000000000001</v>
      </c>
      <c r="I199" s="3">
        <v>128.5</v>
      </c>
      <c r="J199" s="3">
        <v>135.4</v>
      </c>
      <c r="K199" s="3">
        <v>622.5</v>
      </c>
      <c r="L199" s="3">
        <v>132</v>
      </c>
      <c r="M199" s="10" t="s">
        <v>131</v>
      </c>
    </row>
    <row r="200" spans="1:13" hidden="1">
      <c r="A200" t="s">
        <v>34</v>
      </c>
      <c r="B200">
        <v>2017</v>
      </c>
      <c r="C200" t="s">
        <v>40</v>
      </c>
      <c r="D200" s="3">
        <v>1769.3999999999999</v>
      </c>
      <c r="E200" s="3">
        <v>148.19999999999999</v>
      </c>
      <c r="F200" s="3">
        <v>409.7</v>
      </c>
      <c r="G200" s="3">
        <v>132.6</v>
      </c>
      <c r="H200" s="3">
        <v>129.4</v>
      </c>
      <c r="I200" s="3">
        <v>129.4</v>
      </c>
      <c r="J200" s="3">
        <v>136.80000000000001</v>
      </c>
      <c r="K200" s="3">
        <v>624</v>
      </c>
      <c r="L200" s="3">
        <v>134.19999999999999</v>
      </c>
      <c r="M200" s="10" t="s">
        <v>132</v>
      </c>
    </row>
    <row r="201" spans="1:13" hidden="1">
      <c r="A201" t="s">
        <v>34</v>
      </c>
      <c r="B201">
        <v>2017</v>
      </c>
      <c r="C201" t="s">
        <v>31</v>
      </c>
      <c r="D201" s="3">
        <v>1727.2999999999995</v>
      </c>
      <c r="E201" s="3">
        <v>143.80000000000001</v>
      </c>
      <c r="F201" s="3">
        <v>402.4</v>
      </c>
      <c r="G201" s="3">
        <v>129.6</v>
      </c>
      <c r="H201" s="3">
        <v>126.8</v>
      </c>
      <c r="I201" s="3">
        <v>127.1</v>
      </c>
      <c r="J201" s="3">
        <v>133.30000000000001</v>
      </c>
      <c r="K201" s="3">
        <v>616.70000000000005</v>
      </c>
      <c r="L201" s="3">
        <v>130.30000000000001</v>
      </c>
      <c r="M201" s="10" t="s">
        <v>133</v>
      </c>
    </row>
    <row r="202" spans="1:13" hidden="1">
      <c r="A202" t="s">
        <v>34</v>
      </c>
      <c r="B202">
        <v>2017</v>
      </c>
      <c r="C202" t="s">
        <v>35</v>
      </c>
      <c r="D202" s="3">
        <v>1722.3000000000002</v>
      </c>
      <c r="E202" s="3">
        <v>144.4</v>
      </c>
      <c r="F202" s="3">
        <v>403</v>
      </c>
      <c r="G202" s="3">
        <v>130.5</v>
      </c>
      <c r="H202" s="3">
        <v>127.9</v>
      </c>
      <c r="I202" s="3">
        <v>127.4</v>
      </c>
      <c r="J202" s="3">
        <v>133.4</v>
      </c>
      <c r="K202" s="3">
        <v>619.09999999999991</v>
      </c>
      <c r="L202" s="3">
        <v>130.6</v>
      </c>
      <c r="M202" s="10" t="s">
        <v>134</v>
      </c>
    </row>
    <row r="203" spans="1:13" hidden="1">
      <c r="A203" t="s">
        <v>34</v>
      </c>
      <c r="B203">
        <v>2017</v>
      </c>
      <c r="C203" t="s">
        <v>46</v>
      </c>
      <c r="D203" s="3">
        <v>1794.9999999999998</v>
      </c>
      <c r="E203" s="3">
        <v>154.19999999999999</v>
      </c>
      <c r="F203" s="3">
        <v>420.2</v>
      </c>
      <c r="G203" s="3">
        <v>139.1</v>
      </c>
      <c r="H203" s="3">
        <v>136.6</v>
      </c>
      <c r="I203" s="3">
        <v>133.1</v>
      </c>
      <c r="J203" s="3">
        <v>138.5</v>
      </c>
      <c r="K203" s="3">
        <v>637.29999999999995</v>
      </c>
      <c r="L203" s="3">
        <v>137.19999999999999</v>
      </c>
      <c r="M203" s="10" t="s">
        <v>135</v>
      </c>
    </row>
    <row r="204" spans="1:13" hidden="1">
      <c r="A204" t="s">
        <v>34</v>
      </c>
      <c r="B204">
        <v>2017</v>
      </c>
      <c r="C204" t="s">
        <v>41</v>
      </c>
      <c r="D204" s="3">
        <v>1783.8</v>
      </c>
      <c r="E204" s="3">
        <v>149.80000000000001</v>
      </c>
      <c r="F204" s="3">
        <v>412.6</v>
      </c>
      <c r="G204" s="3">
        <v>134.4</v>
      </c>
      <c r="H204" s="3">
        <v>129.80000000000001</v>
      </c>
      <c r="I204" s="3">
        <v>130.19999999999999</v>
      </c>
      <c r="J204" s="3">
        <v>137.6</v>
      </c>
      <c r="K204" s="3">
        <v>628.70000000000005</v>
      </c>
      <c r="L204" s="3">
        <v>135.4</v>
      </c>
      <c r="M204" s="10" t="s">
        <v>136</v>
      </c>
    </row>
    <row r="205" spans="1:13" hidden="1">
      <c r="A205" t="s">
        <v>34</v>
      </c>
      <c r="B205">
        <v>2017</v>
      </c>
      <c r="C205" t="s">
        <v>37</v>
      </c>
      <c r="D205" s="3">
        <v>1718.4</v>
      </c>
      <c r="E205" s="3">
        <v>145.4</v>
      </c>
      <c r="F205" s="3">
        <v>406.1</v>
      </c>
      <c r="G205" s="3">
        <v>131.69999999999999</v>
      </c>
      <c r="H205" s="3">
        <v>129.80000000000001</v>
      </c>
      <c r="I205" s="3">
        <v>128.1</v>
      </c>
      <c r="J205" s="3">
        <v>134.5</v>
      </c>
      <c r="K205" s="3">
        <v>620.30000000000007</v>
      </c>
      <c r="L205" s="3">
        <v>131.1</v>
      </c>
      <c r="M205" s="10" t="s">
        <v>137</v>
      </c>
    </row>
    <row r="206" spans="1:13" hidden="1">
      <c r="A206" t="s">
        <v>30</v>
      </c>
      <c r="B206">
        <v>2017</v>
      </c>
      <c r="C206" t="s">
        <v>42</v>
      </c>
      <c r="D206" s="3">
        <v>1784.3</v>
      </c>
      <c r="E206" s="3">
        <v>149.80000000000001</v>
      </c>
      <c r="F206" s="3">
        <v>430.99999999999994</v>
      </c>
      <c r="G206" s="3">
        <v>133.6</v>
      </c>
      <c r="H206" s="3">
        <v>137.4</v>
      </c>
      <c r="I206" s="3">
        <v>133.4</v>
      </c>
      <c r="J206" s="3">
        <v>139.6</v>
      </c>
      <c r="K206" s="3">
        <v>648.40000000000009</v>
      </c>
      <c r="L206" s="3">
        <v>137.6</v>
      </c>
      <c r="M206" s="10" t="s">
        <v>126</v>
      </c>
    </row>
    <row r="207" spans="1:13" hidden="1">
      <c r="A207" t="s">
        <v>33</v>
      </c>
      <c r="B207">
        <v>2017</v>
      </c>
      <c r="C207" t="s">
        <v>42</v>
      </c>
      <c r="D207" s="3">
        <v>1749.7</v>
      </c>
      <c r="E207" s="3">
        <v>153.6</v>
      </c>
      <c r="F207" s="3">
        <v>389.9</v>
      </c>
      <c r="G207" s="3">
        <v>135.69999999999999</v>
      </c>
      <c r="H207" s="3">
        <v>120.6</v>
      </c>
      <c r="I207" s="3">
        <v>126.1</v>
      </c>
      <c r="J207" s="3">
        <v>135.9</v>
      </c>
      <c r="K207" s="3">
        <v>617.20000000000005</v>
      </c>
      <c r="L207" s="3">
        <v>132.4</v>
      </c>
      <c r="M207" s="10" t="s">
        <v>126</v>
      </c>
    </row>
    <row r="208" spans="1:13" hidden="1">
      <c r="A208" t="s">
        <v>30</v>
      </c>
      <c r="B208">
        <v>2017</v>
      </c>
      <c r="C208" t="s">
        <v>43</v>
      </c>
      <c r="D208" s="3">
        <v>1790.8999999999999</v>
      </c>
      <c r="E208" s="3">
        <v>150.5</v>
      </c>
      <c r="F208" s="3">
        <v>433.99999999999994</v>
      </c>
      <c r="G208" s="3">
        <v>133.6</v>
      </c>
      <c r="H208" s="3">
        <v>138.1</v>
      </c>
      <c r="I208" s="3">
        <v>134.19999999999999</v>
      </c>
      <c r="J208" s="3">
        <v>140.1</v>
      </c>
      <c r="K208" s="3">
        <v>650.5</v>
      </c>
      <c r="L208" s="3">
        <v>138.30000000000001</v>
      </c>
      <c r="M208" s="10" t="s">
        <v>127</v>
      </c>
    </row>
    <row r="209" spans="1:13" hidden="1">
      <c r="A209" t="s">
        <v>33</v>
      </c>
      <c r="B209">
        <v>2017</v>
      </c>
      <c r="C209" t="s">
        <v>43</v>
      </c>
      <c r="D209" s="3">
        <v>1765.6999999999998</v>
      </c>
      <c r="E209" s="3">
        <v>154.6</v>
      </c>
      <c r="F209" s="3">
        <v>391.5</v>
      </c>
      <c r="G209" s="3">
        <v>137.30000000000001</v>
      </c>
      <c r="H209" s="3">
        <v>122.6</v>
      </c>
      <c r="I209" s="3">
        <v>126.6</v>
      </c>
      <c r="J209" s="3">
        <v>136.30000000000001</v>
      </c>
      <c r="K209" s="3">
        <v>617.20000000000005</v>
      </c>
      <c r="L209" s="3">
        <v>133.5</v>
      </c>
      <c r="M209" s="10" t="s">
        <v>127</v>
      </c>
    </row>
    <row r="210" spans="1:13" hidden="1">
      <c r="A210" t="s">
        <v>30</v>
      </c>
      <c r="B210">
        <v>2017</v>
      </c>
      <c r="C210" t="s">
        <v>45</v>
      </c>
      <c r="D210" s="3">
        <v>1817.7000000000003</v>
      </c>
      <c r="E210" s="3">
        <v>152.1</v>
      </c>
      <c r="F210" s="3">
        <v>437</v>
      </c>
      <c r="G210" s="3">
        <v>133.6</v>
      </c>
      <c r="H210" s="3">
        <v>141.1</v>
      </c>
      <c r="I210" s="3">
        <v>135.80000000000001</v>
      </c>
      <c r="J210" s="3">
        <v>141.5</v>
      </c>
      <c r="K210" s="3">
        <v>654.5</v>
      </c>
      <c r="L210" s="3">
        <v>140</v>
      </c>
      <c r="M210" s="10" t="s">
        <v>128</v>
      </c>
    </row>
    <row r="211" spans="1:13" hidden="1">
      <c r="A211" t="s">
        <v>33</v>
      </c>
      <c r="B211">
        <v>2017</v>
      </c>
      <c r="C211" t="s">
        <v>45</v>
      </c>
      <c r="D211" s="3">
        <v>1796.7</v>
      </c>
      <c r="E211" s="3">
        <v>156.19999999999999</v>
      </c>
      <c r="F211" s="3">
        <v>393.9</v>
      </c>
      <c r="G211" s="3">
        <v>138.6</v>
      </c>
      <c r="H211" s="3">
        <v>125.7</v>
      </c>
      <c r="I211" s="3">
        <v>127.4</v>
      </c>
      <c r="J211" s="3">
        <v>136.6</v>
      </c>
      <c r="K211" s="3">
        <v>619</v>
      </c>
      <c r="L211" s="3">
        <v>134.80000000000001</v>
      </c>
      <c r="M211" s="10" t="s">
        <v>128</v>
      </c>
    </row>
    <row r="212" spans="1:13" hidden="1">
      <c r="A212" t="s">
        <v>30</v>
      </c>
      <c r="B212">
        <v>2017</v>
      </c>
      <c r="C212" t="s">
        <v>38</v>
      </c>
      <c r="D212" s="3">
        <v>1727.4999999999995</v>
      </c>
      <c r="E212" s="3">
        <v>145.5</v>
      </c>
      <c r="F212" s="3">
        <v>421.6</v>
      </c>
      <c r="G212" s="3">
        <v>133.6</v>
      </c>
      <c r="H212" s="3">
        <v>135</v>
      </c>
      <c r="I212" s="3">
        <v>131.4</v>
      </c>
      <c r="J212" s="3">
        <v>136.30000000000001</v>
      </c>
      <c r="K212" s="3">
        <v>635.30000000000007</v>
      </c>
      <c r="L212" s="3">
        <v>133.30000000000001</v>
      </c>
      <c r="M212" s="10" t="s">
        <v>129</v>
      </c>
    </row>
    <row r="213" spans="1:13" hidden="1">
      <c r="A213" t="s">
        <v>33</v>
      </c>
      <c r="B213">
        <v>2017</v>
      </c>
      <c r="C213" t="s">
        <v>38</v>
      </c>
      <c r="D213" s="3">
        <v>1709.6</v>
      </c>
      <c r="E213" s="3">
        <v>148.30000000000001</v>
      </c>
      <c r="F213" s="3">
        <v>384.9</v>
      </c>
      <c r="G213" s="3">
        <v>132.1</v>
      </c>
      <c r="H213" s="3">
        <v>120.1</v>
      </c>
      <c r="I213" s="3">
        <v>123.6</v>
      </c>
      <c r="J213" s="3">
        <v>133.80000000000001</v>
      </c>
      <c r="K213" s="3">
        <v>608.20000000000005</v>
      </c>
      <c r="L213" s="3">
        <v>129.30000000000001</v>
      </c>
      <c r="M213" s="10" t="s">
        <v>129</v>
      </c>
    </row>
    <row r="214" spans="1:13" hidden="1">
      <c r="A214" t="s">
        <v>30</v>
      </c>
      <c r="B214">
        <v>2017</v>
      </c>
      <c r="C214" t="s">
        <v>36</v>
      </c>
      <c r="D214" s="3">
        <v>1728.5000000000002</v>
      </c>
      <c r="E214" s="3">
        <v>144.19999999999999</v>
      </c>
      <c r="F214" s="3">
        <v>418.59999999999997</v>
      </c>
      <c r="G214" s="3">
        <v>133.6</v>
      </c>
      <c r="H214" s="3">
        <v>134.19999999999999</v>
      </c>
      <c r="I214" s="3">
        <v>130.6</v>
      </c>
      <c r="J214" s="3">
        <v>135.19999999999999</v>
      </c>
      <c r="K214" s="3">
        <v>632.9</v>
      </c>
      <c r="L214" s="3">
        <v>132.80000000000001</v>
      </c>
      <c r="M214" s="10" t="s">
        <v>130</v>
      </c>
    </row>
    <row r="215" spans="1:13" hidden="1">
      <c r="A215" t="s">
        <v>33</v>
      </c>
      <c r="B215">
        <v>2017</v>
      </c>
      <c r="C215" t="s">
        <v>36</v>
      </c>
      <c r="D215" s="3">
        <v>1705.6999999999998</v>
      </c>
      <c r="E215" s="3">
        <v>147.5</v>
      </c>
      <c r="F215" s="3">
        <v>383.20000000000005</v>
      </c>
      <c r="G215" s="3">
        <v>131.1</v>
      </c>
      <c r="H215" s="3">
        <v>120.8</v>
      </c>
      <c r="I215" s="3">
        <v>123.1</v>
      </c>
      <c r="J215" s="3">
        <v>132.80000000000001</v>
      </c>
      <c r="K215" s="3">
        <v>607.9</v>
      </c>
      <c r="L215" s="3">
        <v>128.69999999999999</v>
      </c>
      <c r="M215" s="10" t="s">
        <v>130</v>
      </c>
    </row>
    <row r="216" spans="1:13" hidden="1">
      <c r="A216" t="s">
        <v>30</v>
      </c>
      <c r="B216">
        <v>2017</v>
      </c>
      <c r="C216" t="s">
        <v>39</v>
      </c>
      <c r="D216" s="3">
        <v>1738.8000000000002</v>
      </c>
      <c r="E216" s="3">
        <v>145.80000000000001</v>
      </c>
      <c r="F216" s="3">
        <v>423.09999999999997</v>
      </c>
      <c r="G216" s="3">
        <v>133.6</v>
      </c>
      <c r="H216" s="3">
        <v>134.80000000000001</v>
      </c>
      <c r="I216" s="3">
        <v>131.30000000000001</v>
      </c>
      <c r="J216" s="3">
        <v>136.9</v>
      </c>
      <c r="K216" s="3">
        <v>636.6</v>
      </c>
      <c r="L216" s="3">
        <v>133.9</v>
      </c>
      <c r="M216" s="10" t="s">
        <v>131</v>
      </c>
    </row>
    <row r="217" spans="1:13" hidden="1">
      <c r="A217" t="s">
        <v>33</v>
      </c>
      <c r="B217">
        <v>2017</v>
      </c>
      <c r="C217" t="s">
        <v>39</v>
      </c>
      <c r="D217" s="3">
        <v>1731.0000000000002</v>
      </c>
      <c r="E217" s="3">
        <v>148.6</v>
      </c>
      <c r="F217" s="3">
        <v>384.9</v>
      </c>
      <c r="G217" s="3">
        <v>131.4</v>
      </c>
      <c r="H217" s="3">
        <v>119</v>
      </c>
      <c r="I217" s="3">
        <v>123.8</v>
      </c>
      <c r="J217" s="3">
        <v>134.30000000000001</v>
      </c>
      <c r="K217" s="3">
        <v>608.80000000000007</v>
      </c>
      <c r="L217" s="3">
        <v>129.9</v>
      </c>
      <c r="M217" s="10" t="s">
        <v>131</v>
      </c>
    </row>
    <row r="218" spans="1:13" hidden="1">
      <c r="A218" t="s">
        <v>30</v>
      </c>
      <c r="B218">
        <v>2017</v>
      </c>
      <c r="C218" t="s">
        <v>40</v>
      </c>
      <c r="D218" s="3">
        <v>1772.9</v>
      </c>
      <c r="E218" s="3">
        <v>147.4</v>
      </c>
      <c r="F218" s="3">
        <v>425.9</v>
      </c>
      <c r="G218" s="3">
        <v>133.6</v>
      </c>
      <c r="H218" s="3">
        <v>135.30000000000001</v>
      </c>
      <c r="I218" s="3">
        <v>132.1</v>
      </c>
      <c r="J218" s="3">
        <v>138.6</v>
      </c>
      <c r="K218" s="3">
        <v>638.79999999999995</v>
      </c>
      <c r="L218" s="3">
        <v>136.19999999999999</v>
      </c>
      <c r="M218" s="10" t="s">
        <v>132</v>
      </c>
    </row>
    <row r="219" spans="1:13" hidden="1">
      <c r="A219" t="s">
        <v>33</v>
      </c>
      <c r="B219">
        <v>2017</v>
      </c>
      <c r="C219" t="s">
        <v>40</v>
      </c>
      <c r="D219" s="3">
        <v>1768.1</v>
      </c>
      <c r="E219" s="3">
        <v>150.5</v>
      </c>
      <c r="F219" s="3">
        <v>385.70000000000005</v>
      </c>
      <c r="G219" s="3">
        <v>132.6</v>
      </c>
      <c r="H219" s="3">
        <v>119.7</v>
      </c>
      <c r="I219" s="3">
        <v>125</v>
      </c>
      <c r="J219" s="3">
        <v>135.5</v>
      </c>
      <c r="K219" s="3">
        <v>609.29999999999995</v>
      </c>
      <c r="L219" s="3">
        <v>131.80000000000001</v>
      </c>
      <c r="M219" s="10" t="s">
        <v>132</v>
      </c>
    </row>
    <row r="220" spans="1:13" hidden="1">
      <c r="A220" t="s">
        <v>30</v>
      </c>
      <c r="B220">
        <v>2017</v>
      </c>
      <c r="C220" t="s">
        <v>31</v>
      </c>
      <c r="D220" s="3">
        <v>1737.3000000000002</v>
      </c>
      <c r="E220" s="3">
        <v>143.1</v>
      </c>
      <c r="F220" s="3">
        <v>416.5</v>
      </c>
      <c r="G220" s="3">
        <v>133.6</v>
      </c>
      <c r="H220" s="3">
        <v>132.1</v>
      </c>
      <c r="I220" s="3">
        <v>129.9</v>
      </c>
      <c r="J220" s="3">
        <v>134.6</v>
      </c>
      <c r="K220" s="3">
        <v>628.19999999999993</v>
      </c>
      <c r="L220" s="3">
        <v>132.4</v>
      </c>
      <c r="M220" s="10" t="s">
        <v>133</v>
      </c>
    </row>
    <row r="221" spans="1:13" hidden="1">
      <c r="A221" t="s">
        <v>33</v>
      </c>
      <c r="B221">
        <v>2017</v>
      </c>
      <c r="C221" t="s">
        <v>31</v>
      </c>
      <c r="D221" s="3">
        <v>1713.2</v>
      </c>
      <c r="E221" s="3">
        <v>145.6</v>
      </c>
      <c r="F221" s="3">
        <v>381.5</v>
      </c>
      <c r="G221" s="3">
        <v>129.6</v>
      </c>
      <c r="H221" s="3">
        <v>118</v>
      </c>
      <c r="I221" s="3">
        <v>122.6</v>
      </c>
      <c r="J221" s="3">
        <v>132.4</v>
      </c>
      <c r="K221" s="3">
        <v>605.30000000000007</v>
      </c>
      <c r="L221" s="3">
        <v>127.8</v>
      </c>
      <c r="M221" s="10" t="s">
        <v>133</v>
      </c>
    </row>
    <row r="222" spans="1:13" hidden="1">
      <c r="A222" t="s">
        <v>30</v>
      </c>
      <c r="B222">
        <v>2017</v>
      </c>
      <c r="C222" t="s">
        <v>35</v>
      </c>
      <c r="D222" s="3">
        <v>1734.5000000000002</v>
      </c>
      <c r="E222" s="3">
        <v>143.69999999999999</v>
      </c>
      <c r="F222" s="3">
        <v>416.90000000000003</v>
      </c>
      <c r="G222" s="3">
        <v>133.6</v>
      </c>
      <c r="H222" s="3">
        <v>133.19999999999999</v>
      </c>
      <c r="I222" s="3">
        <v>130.1</v>
      </c>
      <c r="J222" s="3">
        <v>134.9</v>
      </c>
      <c r="K222" s="3">
        <v>631</v>
      </c>
      <c r="L222" s="3">
        <v>132.6</v>
      </c>
      <c r="M222" s="10" t="s">
        <v>134</v>
      </c>
    </row>
    <row r="223" spans="1:13" hidden="1">
      <c r="A223" t="s">
        <v>33</v>
      </c>
      <c r="B223">
        <v>2017</v>
      </c>
      <c r="C223" t="s">
        <v>35</v>
      </c>
      <c r="D223" s="3">
        <v>1705.3000000000002</v>
      </c>
      <c r="E223" s="3">
        <v>146.30000000000001</v>
      </c>
      <c r="F223" s="3">
        <v>382.3</v>
      </c>
      <c r="G223" s="3">
        <v>130.5</v>
      </c>
      <c r="H223" s="3">
        <v>119.2</v>
      </c>
      <c r="I223" s="3">
        <v>122.9</v>
      </c>
      <c r="J223" s="3">
        <v>132.4</v>
      </c>
      <c r="K223" s="3">
        <v>607.1</v>
      </c>
      <c r="L223" s="3">
        <v>128.19999999999999</v>
      </c>
      <c r="M223" s="10" t="s">
        <v>134</v>
      </c>
    </row>
    <row r="224" spans="1:13" hidden="1">
      <c r="A224" t="s">
        <v>30</v>
      </c>
      <c r="B224">
        <v>2017</v>
      </c>
      <c r="C224" t="s">
        <v>46</v>
      </c>
      <c r="D224" s="3">
        <v>1813.6000000000001</v>
      </c>
      <c r="E224" s="3">
        <v>153.19999999999999</v>
      </c>
      <c r="F224" s="3">
        <v>437.09999999999997</v>
      </c>
      <c r="G224" s="3">
        <v>133.6</v>
      </c>
      <c r="H224" s="3">
        <v>142.6</v>
      </c>
      <c r="I224" s="3">
        <v>136.1</v>
      </c>
      <c r="J224" s="3">
        <v>141.1</v>
      </c>
      <c r="K224" s="3">
        <v>654.59999999999991</v>
      </c>
      <c r="L224" s="3">
        <v>139.80000000000001</v>
      </c>
      <c r="M224" s="10" t="s">
        <v>135</v>
      </c>
    </row>
    <row r="225" spans="1:13" hidden="1">
      <c r="A225" t="s">
        <v>33</v>
      </c>
      <c r="B225">
        <v>2017</v>
      </c>
      <c r="C225" t="s">
        <v>46</v>
      </c>
      <c r="D225" s="3">
        <v>1767.5</v>
      </c>
      <c r="E225" s="3">
        <v>157</v>
      </c>
      <c r="F225" s="3">
        <v>395.2</v>
      </c>
      <c r="G225" s="3">
        <v>139.1</v>
      </c>
      <c r="H225" s="3">
        <v>126.8</v>
      </c>
      <c r="I225" s="3">
        <v>128.19999999999999</v>
      </c>
      <c r="J225" s="3">
        <v>136.69999999999999</v>
      </c>
      <c r="K225" s="3">
        <v>619.90000000000009</v>
      </c>
      <c r="L225" s="3">
        <v>134.1</v>
      </c>
      <c r="M225" s="10" t="s">
        <v>135</v>
      </c>
    </row>
    <row r="226" spans="1:13" hidden="1">
      <c r="A226" t="s">
        <v>30</v>
      </c>
      <c r="B226">
        <v>2017</v>
      </c>
      <c r="C226" t="s">
        <v>41</v>
      </c>
      <c r="D226" s="3">
        <v>1792.4999999999998</v>
      </c>
      <c r="E226" s="3">
        <v>149</v>
      </c>
      <c r="F226" s="3">
        <v>429</v>
      </c>
      <c r="G226" s="3">
        <v>133.6</v>
      </c>
      <c r="H226" s="3">
        <v>136.4</v>
      </c>
      <c r="I226" s="3">
        <v>133</v>
      </c>
      <c r="J226" s="3">
        <v>140.19999999999999</v>
      </c>
      <c r="K226" s="3">
        <v>644.20000000000005</v>
      </c>
      <c r="L226" s="3">
        <v>137.80000000000001</v>
      </c>
      <c r="M226" s="10" t="s">
        <v>136</v>
      </c>
    </row>
    <row r="227" spans="1:13" hidden="1">
      <c r="A227" t="s">
        <v>33</v>
      </c>
      <c r="B227">
        <v>2017</v>
      </c>
      <c r="C227" t="s">
        <v>41</v>
      </c>
      <c r="D227" s="3">
        <v>1772.9999999999998</v>
      </c>
      <c r="E227" s="3">
        <v>152.1</v>
      </c>
      <c r="F227" s="3">
        <v>388.4</v>
      </c>
      <c r="G227" s="3">
        <v>134.4</v>
      </c>
      <c r="H227" s="3">
        <v>118.9</v>
      </c>
      <c r="I227" s="3">
        <v>125.7</v>
      </c>
      <c r="J227" s="3">
        <v>135.69999999999999</v>
      </c>
      <c r="K227" s="3">
        <v>613.5</v>
      </c>
      <c r="L227" s="3">
        <v>132.69999999999999</v>
      </c>
      <c r="M227" s="10" t="s">
        <v>136</v>
      </c>
    </row>
    <row r="228" spans="1:13" hidden="1">
      <c r="A228" t="s">
        <v>30</v>
      </c>
      <c r="B228">
        <v>2017</v>
      </c>
      <c r="C228" t="s">
        <v>37</v>
      </c>
      <c r="D228" s="3">
        <v>1726.3</v>
      </c>
      <c r="E228" s="3">
        <v>144.4</v>
      </c>
      <c r="F228" s="3">
        <v>420.80000000000007</v>
      </c>
      <c r="G228" s="3">
        <v>133.6</v>
      </c>
      <c r="H228" s="3">
        <v>135</v>
      </c>
      <c r="I228" s="3">
        <v>131</v>
      </c>
      <c r="J228" s="3">
        <v>135.69999999999999</v>
      </c>
      <c r="K228" s="3">
        <v>633</v>
      </c>
      <c r="L228" s="3">
        <v>132.9</v>
      </c>
      <c r="M228" s="10" t="s">
        <v>137</v>
      </c>
    </row>
    <row r="229" spans="1:13" hidden="1">
      <c r="A229" t="s">
        <v>33</v>
      </c>
      <c r="B229">
        <v>2017</v>
      </c>
      <c r="C229" t="s">
        <v>37</v>
      </c>
      <c r="D229" s="3">
        <v>1708.1</v>
      </c>
      <c r="E229" s="3">
        <v>148</v>
      </c>
      <c r="F229" s="3">
        <v>384.2</v>
      </c>
      <c r="G229" s="3">
        <v>131.69999999999999</v>
      </c>
      <c r="H229" s="3">
        <v>121.4</v>
      </c>
      <c r="I229" s="3">
        <v>123.4</v>
      </c>
      <c r="J229" s="3">
        <v>133.6</v>
      </c>
      <c r="K229" s="3">
        <v>607.59999999999991</v>
      </c>
      <c r="L229" s="3">
        <v>129.1</v>
      </c>
      <c r="M229" s="10" t="s">
        <v>137</v>
      </c>
    </row>
    <row r="230" spans="1:13" hidden="1">
      <c r="A230" t="s">
        <v>34</v>
      </c>
      <c r="B230">
        <v>2016</v>
      </c>
      <c r="C230" t="s">
        <v>42</v>
      </c>
      <c r="D230" s="3">
        <v>1763.6999999999998</v>
      </c>
      <c r="E230" s="3">
        <v>141</v>
      </c>
      <c r="F230" s="3">
        <v>397</v>
      </c>
      <c r="G230" s="3">
        <v>127.9</v>
      </c>
      <c r="H230" s="3">
        <v>124.1</v>
      </c>
      <c r="I230" s="3">
        <v>125.4</v>
      </c>
      <c r="J230" s="3">
        <v>131.80000000000001</v>
      </c>
      <c r="K230" s="3">
        <v>610</v>
      </c>
      <c r="L230" s="3">
        <v>130.9</v>
      </c>
      <c r="M230" s="10" t="s">
        <v>138</v>
      </c>
    </row>
    <row r="231" spans="1:13" hidden="1">
      <c r="A231" t="s">
        <v>34</v>
      </c>
      <c r="B231">
        <v>2016</v>
      </c>
      <c r="C231" t="s">
        <v>43</v>
      </c>
      <c r="D231" s="3">
        <v>1766.7999999999995</v>
      </c>
      <c r="E231" s="3">
        <v>141.80000000000001</v>
      </c>
      <c r="F231" s="3">
        <v>399.1</v>
      </c>
      <c r="G231" s="3">
        <v>128.69999999999999</v>
      </c>
      <c r="H231" s="3">
        <v>124.3</v>
      </c>
      <c r="I231" s="3">
        <v>126.1</v>
      </c>
      <c r="J231" s="3">
        <v>132.4</v>
      </c>
      <c r="K231" s="3">
        <v>612.6</v>
      </c>
      <c r="L231" s="3">
        <v>131.4</v>
      </c>
      <c r="M231" s="10" t="s">
        <v>139</v>
      </c>
    </row>
    <row r="232" spans="1:13" hidden="1">
      <c r="A232" t="s">
        <v>34</v>
      </c>
      <c r="B232">
        <v>2016</v>
      </c>
      <c r="C232" t="s">
        <v>45</v>
      </c>
      <c r="D232" s="3">
        <v>1759.8</v>
      </c>
      <c r="E232" s="3">
        <v>142</v>
      </c>
      <c r="F232" s="3">
        <v>400.1</v>
      </c>
      <c r="G232" s="3">
        <v>129.1</v>
      </c>
      <c r="H232" s="3">
        <v>125</v>
      </c>
      <c r="I232" s="3">
        <v>126.4</v>
      </c>
      <c r="J232" s="3">
        <v>132.80000000000001</v>
      </c>
      <c r="K232" s="3">
        <v>614.69999999999993</v>
      </c>
      <c r="L232" s="3">
        <v>131.19999999999999</v>
      </c>
      <c r="M232" s="10" t="s">
        <v>140</v>
      </c>
    </row>
    <row r="233" spans="1:13" hidden="1">
      <c r="A233" t="s">
        <v>34</v>
      </c>
      <c r="B233">
        <v>2016</v>
      </c>
      <c r="C233" t="s">
        <v>38</v>
      </c>
      <c r="D233" s="3">
        <v>1730.4</v>
      </c>
      <c r="E233" s="3">
        <v>137.69999999999999</v>
      </c>
      <c r="F233" s="3">
        <v>390.4</v>
      </c>
      <c r="G233" s="3">
        <v>126</v>
      </c>
      <c r="H233" s="3">
        <v>122.7</v>
      </c>
      <c r="I233" s="3">
        <v>123.7</v>
      </c>
      <c r="J233" s="3">
        <v>128.5</v>
      </c>
      <c r="K233" s="3">
        <v>600.20000000000005</v>
      </c>
      <c r="L233" s="3">
        <v>128.6</v>
      </c>
      <c r="M233" s="10" t="s">
        <v>141</v>
      </c>
    </row>
    <row r="234" spans="1:13" hidden="1">
      <c r="A234" t="s">
        <v>34</v>
      </c>
      <c r="B234">
        <v>2016</v>
      </c>
      <c r="C234" t="s">
        <v>36</v>
      </c>
      <c r="D234" s="3">
        <v>1675.2</v>
      </c>
      <c r="E234" s="3">
        <v>136.5</v>
      </c>
      <c r="F234" s="3">
        <v>387.9</v>
      </c>
      <c r="G234" s="3">
        <v>124.9</v>
      </c>
      <c r="H234" s="3">
        <v>122.4</v>
      </c>
      <c r="I234" s="3">
        <v>122.9</v>
      </c>
      <c r="J234" s="3">
        <v>126.9</v>
      </c>
      <c r="K234" s="3">
        <v>593.20000000000005</v>
      </c>
      <c r="L234" s="3">
        <v>126</v>
      </c>
      <c r="M234" s="10" t="s">
        <v>142</v>
      </c>
    </row>
    <row r="235" spans="1:13" hidden="1">
      <c r="A235" t="s">
        <v>34</v>
      </c>
      <c r="B235">
        <v>2016</v>
      </c>
      <c r="C235" t="s">
        <v>39</v>
      </c>
      <c r="D235" s="3">
        <v>1760.6</v>
      </c>
      <c r="E235" s="3">
        <v>138.69999999999999</v>
      </c>
      <c r="F235" s="3">
        <v>392.1</v>
      </c>
      <c r="G235" s="3">
        <v>125.5</v>
      </c>
      <c r="H235" s="3">
        <v>123.3</v>
      </c>
      <c r="I235" s="3">
        <v>124.1</v>
      </c>
      <c r="J235" s="3">
        <v>129.69999999999999</v>
      </c>
      <c r="K235" s="3">
        <v>603.20000000000005</v>
      </c>
      <c r="L235" s="3">
        <v>130.1</v>
      </c>
      <c r="M235" s="10" t="s">
        <v>143</v>
      </c>
    </row>
    <row r="236" spans="1:13" hidden="1">
      <c r="A236" t="s">
        <v>34</v>
      </c>
      <c r="B236">
        <v>2016</v>
      </c>
      <c r="C236" t="s">
        <v>40</v>
      </c>
      <c r="D236" s="3">
        <v>1783.5</v>
      </c>
      <c r="E236" s="3">
        <v>139.30000000000001</v>
      </c>
      <c r="F236" s="3">
        <v>393.8</v>
      </c>
      <c r="G236" s="3">
        <v>126.4</v>
      </c>
      <c r="H236" s="3">
        <v>123.4</v>
      </c>
      <c r="I236" s="3">
        <v>124.5</v>
      </c>
      <c r="J236" s="3">
        <v>130.80000000000001</v>
      </c>
      <c r="K236" s="3">
        <v>605.6</v>
      </c>
      <c r="L236" s="3">
        <v>131.1</v>
      </c>
      <c r="M236" s="10" t="s">
        <v>144</v>
      </c>
    </row>
    <row r="237" spans="1:13" hidden="1">
      <c r="A237" t="s">
        <v>34</v>
      </c>
      <c r="B237">
        <v>2016</v>
      </c>
      <c r="C237" t="s">
        <v>31</v>
      </c>
      <c r="D237" s="3">
        <v>1691.7</v>
      </c>
      <c r="E237" s="3">
        <v>135.19999999999999</v>
      </c>
      <c r="F237" s="3">
        <v>384.9</v>
      </c>
      <c r="G237" s="3">
        <v>123.4</v>
      </c>
      <c r="H237" s="3">
        <v>122.7</v>
      </c>
      <c r="I237" s="3">
        <v>122</v>
      </c>
      <c r="J237" s="3">
        <v>126.3</v>
      </c>
      <c r="K237" s="3">
        <v>588.1</v>
      </c>
      <c r="L237" s="3">
        <v>126.3</v>
      </c>
      <c r="M237" s="10" t="s">
        <v>145</v>
      </c>
    </row>
    <row r="238" spans="1:13" hidden="1">
      <c r="A238" t="s">
        <v>34</v>
      </c>
      <c r="B238">
        <v>2016</v>
      </c>
      <c r="C238" t="s">
        <v>35</v>
      </c>
      <c r="D238" s="3">
        <v>1678.1</v>
      </c>
      <c r="E238" s="3">
        <v>135.9</v>
      </c>
      <c r="F238" s="3">
        <v>386.9</v>
      </c>
      <c r="G238" s="3">
        <v>124.4</v>
      </c>
      <c r="H238" s="3">
        <v>123.1</v>
      </c>
      <c r="I238" s="3">
        <v>122.5</v>
      </c>
      <c r="J238" s="3">
        <v>126.6</v>
      </c>
      <c r="K238" s="3">
        <v>592</v>
      </c>
      <c r="L238" s="3">
        <v>126</v>
      </c>
      <c r="M238" s="10" t="s">
        <v>146</v>
      </c>
    </row>
    <row r="239" spans="1:13" hidden="1">
      <c r="A239" t="s">
        <v>34</v>
      </c>
      <c r="B239">
        <v>2016</v>
      </c>
      <c r="C239" t="s">
        <v>46</v>
      </c>
      <c r="D239" s="3">
        <v>1740.7</v>
      </c>
      <c r="E239" s="3">
        <v>143.1</v>
      </c>
      <c r="F239" s="3">
        <v>401.5</v>
      </c>
      <c r="G239" s="3">
        <v>128.5</v>
      </c>
      <c r="H239" s="3">
        <v>126.6</v>
      </c>
      <c r="I239" s="3">
        <v>126.9</v>
      </c>
      <c r="J239" s="3">
        <v>133.1</v>
      </c>
      <c r="K239" s="3">
        <v>614.4</v>
      </c>
      <c r="L239" s="3">
        <v>130.4</v>
      </c>
      <c r="M239" s="10" t="s">
        <v>147</v>
      </c>
    </row>
    <row r="240" spans="1:13" hidden="1">
      <c r="A240" t="s">
        <v>34</v>
      </c>
      <c r="B240">
        <v>2016</v>
      </c>
      <c r="C240" t="s">
        <v>41</v>
      </c>
      <c r="D240" s="3">
        <v>1777.9</v>
      </c>
      <c r="E240" s="3">
        <v>140.19999999999999</v>
      </c>
      <c r="F240" s="3">
        <v>395.49999999999994</v>
      </c>
      <c r="G240" s="3">
        <v>127.3</v>
      </c>
      <c r="H240" s="3">
        <v>123.6</v>
      </c>
      <c r="I240" s="3">
        <v>124.8</v>
      </c>
      <c r="J240" s="3">
        <v>131.69999999999999</v>
      </c>
      <c r="K240" s="3">
        <v>606.79999999999995</v>
      </c>
      <c r="L240" s="3">
        <v>131.1</v>
      </c>
      <c r="M240" s="10" t="s">
        <v>148</v>
      </c>
    </row>
    <row r="241" spans="1:13" hidden="1">
      <c r="A241" t="s">
        <v>34</v>
      </c>
      <c r="B241">
        <v>2016</v>
      </c>
      <c r="C241" t="s">
        <v>37</v>
      </c>
      <c r="D241" s="3">
        <v>1701.3</v>
      </c>
      <c r="E241" s="3">
        <v>137.1</v>
      </c>
      <c r="F241" s="3">
        <v>389.20000000000005</v>
      </c>
      <c r="G241" s="3">
        <v>125.6</v>
      </c>
      <c r="H241" s="3">
        <v>122.3</v>
      </c>
      <c r="I241" s="3">
        <v>123.2</v>
      </c>
      <c r="J241" s="3">
        <v>127.7</v>
      </c>
      <c r="K241" s="3">
        <v>596.79999999999995</v>
      </c>
      <c r="L241" s="3">
        <v>127.3</v>
      </c>
      <c r="M241" s="10" t="s">
        <v>149</v>
      </c>
    </row>
    <row r="242" spans="1:13" hidden="1">
      <c r="A242" t="s">
        <v>30</v>
      </c>
      <c r="B242">
        <v>2016</v>
      </c>
      <c r="C242" t="s">
        <v>42</v>
      </c>
      <c r="D242" s="3">
        <v>1770.7</v>
      </c>
      <c r="E242" s="3">
        <v>139.9</v>
      </c>
      <c r="F242" s="3">
        <v>409.8</v>
      </c>
      <c r="G242" s="3">
        <v>126.5</v>
      </c>
      <c r="H242" s="3">
        <v>129.69999999999999</v>
      </c>
      <c r="I242" s="3">
        <v>127.8</v>
      </c>
      <c r="J242" s="3">
        <v>132.19999999999999</v>
      </c>
      <c r="K242" s="3">
        <v>621.5</v>
      </c>
      <c r="L242" s="3">
        <v>133.4</v>
      </c>
      <c r="M242" s="10" t="s">
        <v>138</v>
      </c>
    </row>
    <row r="243" spans="1:13" hidden="1">
      <c r="A243" t="s">
        <v>33</v>
      </c>
      <c r="B243">
        <v>2016</v>
      </c>
      <c r="C243" t="s">
        <v>42</v>
      </c>
      <c r="D243" s="3">
        <v>1756.3999999999996</v>
      </c>
      <c r="E243" s="3">
        <v>143.9</v>
      </c>
      <c r="F243" s="3">
        <v>378</v>
      </c>
      <c r="G243" s="3">
        <v>127.9</v>
      </c>
      <c r="H243" s="3">
        <v>114.8</v>
      </c>
      <c r="I243" s="3">
        <v>121.4</v>
      </c>
      <c r="J243" s="3">
        <v>131.6</v>
      </c>
      <c r="K243" s="3">
        <v>598.59999999999991</v>
      </c>
      <c r="L243" s="3">
        <v>128</v>
      </c>
      <c r="M243" s="10" t="s">
        <v>138</v>
      </c>
    </row>
    <row r="244" spans="1:13" hidden="1">
      <c r="A244" t="s">
        <v>30</v>
      </c>
      <c r="B244">
        <v>2016</v>
      </c>
      <c r="C244" t="s">
        <v>43</v>
      </c>
      <c r="D244" s="3">
        <v>1771.8000000000002</v>
      </c>
      <c r="E244" s="3">
        <v>140.9</v>
      </c>
      <c r="F244" s="3">
        <v>412.7</v>
      </c>
      <c r="G244" s="3">
        <v>126.5</v>
      </c>
      <c r="H244" s="3">
        <v>129.80000000000001</v>
      </c>
      <c r="I244" s="3">
        <v>128.69999999999999</v>
      </c>
      <c r="J244" s="3">
        <v>133</v>
      </c>
      <c r="K244" s="3">
        <v>624.80000000000007</v>
      </c>
      <c r="L244" s="3">
        <v>133.80000000000001</v>
      </c>
      <c r="M244" s="10" t="s">
        <v>139</v>
      </c>
    </row>
    <row r="245" spans="1:13" hidden="1">
      <c r="A245" t="s">
        <v>33</v>
      </c>
      <c r="B245">
        <v>2016</v>
      </c>
      <c r="C245" t="s">
        <v>43</v>
      </c>
      <c r="D245" s="3">
        <v>1762.8999999999999</v>
      </c>
      <c r="E245" s="3">
        <v>144.30000000000001</v>
      </c>
      <c r="F245" s="3">
        <v>379</v>
      </c>
      <c r="G245" s="3">
        <v>128.69999999999999</v>
      </c>
      <c r="H245" s="3">
        <v>115.2</v>
      </c>
      <c r="I245" s="3">
        <v>121.8</v>
      </c>
      <c r="J245" s="3">
        <v>131.9</v>
      </c>
      <c r="K245" s="3">
        <v>600.20000000000005</v>
      </c>
      <c r="L245" s="3">
        <v>128.6</v>
      </c>
      <c r="M245" s="10" t="s">
        <v>139</v>
      </c>
    </row>
    <row r="246" spans="1:13" hidden="1">
      <c r="A246" t="s">
        <v>30</v>
      </c>
      <c r="B246">
        <v>2016</v>
      </c>
      <c r="C246" t="s">
        <v>45</v>
      </c>
      <c r="D246" s="3">
        <v>1764.6</v>
      </c>
      <c r="E246" s="3">
        <v>141.19999999999999</v>
      </c>
      <c r="F246" s="3">
        <v>413.59999999999997</v>
      </c>
      <c r="G246" s="3">
        <v>126.5</v>
      </c>
      <c r="H246" s="3">
        <v>130.30000000000001</v>
      </c>
      <c r="I246" s="3">
        <v>129.1</v>
      </c>
      <c r="J246" s="3">
        <v>133.69999999999999</v>
      </c>
      <c r="K246" s="3">
        <v>626.80000000000007</v>
      </c>
      <c r="L246" s="3">
        <v>133.6</v>
      </c>
      <c r="M246" s="10" t="s">
        <v>140</v>
      </c>
    </row>
    <row r="247" spans="1:13" hidden="1">
      <c r="A247" t="s">
        <v>33</v>
      </c>
      <c r="B247">
        <v>2016</v>
      </c>
      <c r="C247" t="s">
        <v>45</v>
      </c>
      <c r="D247" s="3">
        <v>1755.2</v>
      </c>
      <c r="E247" s="3">
        <v>144.30000000000001</v>
      </c>
      <c r="F247" s="3">
        <v>380.2</v>
      </c>
      <c r="G247" s="3">
        <v>129.1</v>
      </c>
      <c r="H247" s="3">
        <v>116.2</v>
      </c>
      <c r="I247" s="3">
        <v>122.1</v>
      </c>
      <c r="J247" s="3">
        <v>132.1</v>
      </c>
      <c r="K247" s="3">
        <v>602.4</v>
      </c>
      <c r="L247" s="3">
        <v>128.5</v>
      </c>
      <c r="M247" s="10" t="s">
        <v>140</v>
      </c>
    </row>
    <row r="248" spans="1:13" hidden="1">
      <c r="A248" t="s">
        <v>30</v>
      </c>
      <c r="B248">
        <v>2016</v>
      </c>
      <c r="C248" t="s">
        <v>38</v>
      </c>
      <c r="D248" s="3">
        <v>1723.6999999999998</v>
      </c>
      <c r="E248" s="3">
        <v>136</v>
      </c>
      <c r="F248" s="3">
        <v>401.3</v>
      </c>
      <c r="G248" s="3">
        <v>126.5</v>
      </c>
      <c r="H248" s="3">
        <v>127.4</v>
      </c>
      <c r="I248" s="3">
        <v>125.8</v>
      </c>
      <c r="J248" s="3">
        <v>129.1</v>
      </c>
      <c r="K248" s="3">
        <v>609.4</v>
      </c>
      <c r="L248" s="3">
        <v>130.30000000000001</v>
      </c>
      <c r="M248" s="10" t="s">
        <v>141</v>
      </c>
    </row>
    <row r="249" spans="1:13" hidden="1">
      <c r="A249" t="s">
        <v>33</v>
      </c>
      <c r="B249">
        <v>2016</v>
      </c>
      <c r="C249" t="s">
        <v>38</v>
      </c>
      <c r="D249" s="3">
        <v>1746.7999999999997</v>
      </c>
      <c r="E249" s="3">
        <v>142.19999999999999</v>
      </c>
      <c r="F249" s="3">
        <v>374.1</v>
      </c>
      <c r="G249" s="3">
        <v>126</v>
      </c>
      <c r="H249" s="3">
        <v>115</v>
      </c>
      <c r="I249" s="3">
        <v>120.3</v>
      </c>
      <c r="J249" s="3">
        <v>128</v>
      </c>
      <c r="K249" s="3">
        <v>590.9</v>
      </c>
      <c r="L249" s="3">
        <v>126.6</v>
      </c>
      <c r="M249" s="10" t="s">
        <v>141</v>
      </c>
    </row>
    <row r="250" spans="1:13" hidden="1">
      <c r="A250" t="s">
        <v>30</v>
      </c>
      <c r="B250">
        <v>2016</v>
      </c>
      <c r="C250" t="s">
        <v>36</v>
      </c>
      <c r="D250" s="3">
        <v>1682.7000000000003</v>
      </c>
      <c r="E250" s="3">
        <v>135</v>
      </c>
      <c r="F250" s="3">
        <v>398.40000000000003</v>
      </c>
      <c r="G250" s="3">
        <v>126.5</v>
      </c>
      <c r="H250" s="3">
        <v>127</v>
      </c>
      <c r="I250" s="3">
        <v>124.8</v>
      </c>
      <c r="J250" s="3">
        <v>127.5</v>
      </c>
      <c r="K250" s="3">
        <v>602.30000000000007</v>
      </c>
      <c r="L250" s="3">
        <v>128</v>
      </c>
      <c r="M250" s="10" t="s">
        <v>142</v>
      </c>
    </row>
    <row r="251" spans="1:13" hidden="1">
      <c r="A251" t="s">
        <v>33</v>
      </c>
      <c r="B251">
        <v>2016</v>
      </c>
      <c r="C251" t="s">
        <v>36</v>
      </c>
      <c r="D251" s="3">
        <v>1667.6000000000001</v>
      </c>
      <c r="E251" s="3">
        <v>140.6</v>
      </c>
      <c r="F251" s="3">
        <v>372.2</v>
      </c>
      <c r="G251" s="3">
        <v>124.9</v>
      </c>
      <c r="H251" s="3">
        <v>114.8</v>
      </c>
      <c r="I251" s="3">
        <v>119.7</v>
      </c>
      <c r="J251" s="3">
        <v>126.4</v>
      </c>
      <c r="K251" s="3">
        <v>584.29999999999995</v>
      </c>
      <c r="L251" s="3">
        <v>123.8</v>
      </c>
      <c r="M251" s="10" t="s">
        <v>142</v>
      </c>
    </row>
    <row r="252" spans="1:13" hidden="1">
      <c r="A252" t="s">
        <v>30</v>
      </c>
      <c r="B252">
        <v>2016</v>
      </c>
      <c r="C252" t="s">
        <v>39</v>
      </c>
      <c r="D252" s="3">
        <v>1748.6</v>
      </c>
      <c r="E252" s="3">
        <v>137.19999999999999</v>
      </c>
      <c r="F252" s="3">
        <v>403.5</v>
      </c>
      <c r="G252" s="3">
        <v>126.5</v>
      </c>
      <c r="H252" s="3">
        <v>128</v>
      </c>
      <c r="I252" s="3">
        <v>126.2</v>
      </c>
      <c r="J252" s="3">
        <v>130.19999999999999</v>
      </c>
      <c r="K252" s="3">
        <v>612.9</v>
      </c>
      <c r="L252" s="3">
        <v>131.9</v>
      </c>
      <c r="M252" s="10" t="s">
        <v>143</v>
      </c>
    </row>
    <row r="253" spans="1:13" hidden="1">
      <c r="A253" t="s">
        <v>33</v>
      </c>
      <c r="B253">
        <v>2016</v>
      </c>
      <c r="C253" t="s">
        <v>39</v>
      </c>
      <c r="D253" s="3">
        <v>1787.0000000000002</v>
      </c>
      <c r="E253" s="3">
        <v>142.69999999999999</v>
      </c>
      <c r="F253" s="3">
        <v>375.29999999999995</v>
      </c>
      <c r="G253" s="3">
        <v>125.5</v>
      </c>
      <c r="H253" s="3">
        <v>115.5</v>
      </c>
      <c r="I253" s="3">
        <v>120.6</v>
      </c>
      <c r="J253" s="3">
        <v>129.30000000000001</v>
      </c>
      <c r="K253" s="3">
        <v>593.79999999999995</v>
      </c>
      <c r="L253" s="3">
        <v>128.1</v>
      </c>
      <c r="M253" s="10" t="s">
        <v>143</v>
      </c>
    </row>
    <row r="254" spans="1:13" hidden="1">
      <c r="A254" t="s">
        <v>30</v>
      </c>
      <c r="B254">
        <v>2016</v>
      </c>
      <c r="C254" t="s">
        <v>40</v>
      </c>
      <c r="D254" s="3">
        <v>1770.2999999999997</v>
      </c>
      <c r="E254" s="3">
        <v>138</v>
      </c>
      <c r="F254" s="3">
        <v>405.9</v>
      </c>
      <c r="G254" s="3">
        <v>126.5</v>
      </c>
      <c r="H254" s="3">
        <v>128.19999999999999</v>
      </c>
      <c r="I254" s="3">
        <v>126.7</v>
      </c>
      <c r="J254" s="3">
        <v>130.80000000000001</v>
      </c>
      <c r="K254" s="3">
        <v>616.29999999999995</v>
      </c>
      <c r="L254" s="3">
        <v>133</v>
      </c>
      <c r="M254" s="10" t="s">
        <v>144</v>
      </c>
    </row>
    <row r="255" spans="1:13" hidden="1">
      <c r="A255" t="s">
        <v>33</v>
      </c>
      <c r="B255">
        <v>2016</v>
      </c>
      <c r="C255" t="s">
        <v>40</v>
      </c>
      <c r="D255" s="3">
        <v>1811.5000000000002</v>
      </c>
      <c r="E255" s="3">
        <v>142.9</v>
      </c>
      <c r="F255" s="3">
        <v>375.9</v>
      </c>
      <c r="G255" s="3">
        <v>126.4</v>
      </c>
      <c r="H255" s="3">
        <v>115.5</v>
      </c>
      <c r="I255" s="3">
        <v>120.9</v>
      </c>
      <c r="J255" s="3">
        <v>130.80000000000001</v>
      </c>
      <c r="K255" s="3">
        <v>595.4</v>
      </c>
      <c r="L255" s="3">
        <v>129</v>
      </c>
      <c r="M255" s="10" t="s">
        <v>144</v>
      </c>
    </row>
    <row r="256" spans="1:13" hidden="1">
      <c r="A256" t="s">
        <v>30</v>
      </c>
      <c r="B256">
        <v>2016</v>
      </c>
      <c r="C256" t="s">
        <v>31</v>
      </c>
      <c r="D256" s="3">
        <v>1690.1000000000001</v>
      </c>
      <c r="E256" s="3">
        <v>133.6</v>
      </c>
      <c r="F256" s="3">
        <v>394.70000000000005</v>
      </c>
      <c r="G256" s="3">
        <v>126.5</v>
      </c>
      <c r="H256" s="3">
        <v>126.2</v>
      </c>
      <c r="I256" s="3">
        <v>123.7</v>
      </c>
      <c r="J256" s="3">
        <v>126.2</v>
      </c>
      <c r="K256" s="3">
        <v>596.6</v>
      </c>
      <c r="L256" s="3">
        <v>128.1</v>
      </c>
      <c r="M256" s="10" t="s">
        <v>145</v>
      </c>
    </row>
    <row r="257" spans="1:13" hidden="1">
      <c r="A257" t="s">
        <v>33</v>
      </c>
      <c r="B257">
        <v>2016</v>
      </c>
      <c r="C257" t="s">
        <v>31</v>
      </c>
      <c r="D257" s="3">
        <v>1701.4</v>
      </c>
      <c r="E257" s="3">
        <v>139.5</v>
      </c>
      <c r="F257" s="3">
        <v>370.5</v>
      </c>
      <c r="G257" s="3">
        <v>123.4</v>
      </c>
      <c r="H257" s="3">
        <v>116.9</v>
      </c>
      <c r="I257" s="3">
        <v>119.1</v>
      </c>
      <c r="J257" s="3">
        <v>126.4</v>
      </c>
      <c r="K257" s="3">
        <v>579.79999999999995</v>
      </c>
      <c r="L257" s="3">
        <v>124.2</v>
      </c>
      <c r="M257" s="10" t="s">
        <v>145</v>
      </c>
    </row>
    <row r="258" spans="1:13" hidden="1">
      <c r="A258" t="s">
        <v>30</v>
      </c>
      <c r="B258">
        <v>2016</v>
      </c>
      <c r="C258" t="s">
        <v>35</v>
      </c>
      <c r="D258" s="3">
        <v>1682.6</v>
      </c>
      <c r="E258" s="3">
        <v>134.4</v>
      </c>
      <c r="F258" s="3">
        <v>397.1</v>
      </c>
      <c r="G258" s="3">
        <v>126.5</v>
      </c>
      <c r="H258" s="3">
        <v>127.5</v>
      </c>
      <c r="I258" s="3">
        <v>124.3</v>
      </c>
      <c r="J258" s="3">
        <v>127.1</v>
      </c>
      <c r="K258" s="3">
        <v>601</v>
      </c>
      <c r="L258" s="3">
        <v>127.9</v>
      </c>
      <c r="M258" s="10" t="s">
        <v>146</v>
      </c>
    </row>
    <row r="259" spans="1:13" hidden="1">
      <c r="A259" t="s">
        <v>33</v>
      </c>
      <c r="B259">
        <v>2016</v>
      </c>
      <c r="C259" t="s">
        <v>35</v>
      </c>
      <c r="D259" s="3">
        <v>1676.1</v>
      </c>
      <c r="E259" s="3">
        <v>140</v>
      </c>
      <c r="F259" s="3">
        <v>371.6</v>
      </c>
      <c r="G259" s="3">
        <v>124.4</v>
      </c>
      <c r="H259" s="3">
        <v>116</v>
      </c>
      <c r="I259" s="3">
        <v>119.5</v>
      </c>
      <c r="J259" s="3">
        <v>126.3</v>
      </c>
      <c r="K259" s="3">
        <v>583.1</v>
      </c>
      <c r="L259" s="3">
        <v>123.8</v>
      </c>
      <c r="M259" s="10" t="s">
        <v>146</v>
      </c>
    </row>
    <row r="260" spans="1:13" hidden="1">
      <c r="A260" t="s">
        <v>30</v>
      </c>
      <c r="B260">
        <v>2016</v>
      </c>
      <c r="C260" t="s">
        <v>46</v>
      </c>
      <c r="D260" s="3">
        <v>1749.1</v>
      </c>
      <c r="E260" s="3">
        <v>142.4</v>
      </c>
      <c r="F260" s="3">
        <v>415.3</v>
      </c>
      <c r="G260" s="3">
        <v>126.5</v>
      </c>
      <c r="H260" s="3">
        <v>132</v>
      </c>
      <c r="I260" s="3">
        <v>129.69999999999999</v>
      </c>
      <c r="J260" s="3">
        <v>134.19999999999999</v>
      </c>
      <c r="K260" s="3">
        <v>627</v>
      </c>
      <c r="L260" s="3">
        <v>132.80000000000001</v>
      </c>
      <c r="M260" s="10" t="s">
        <v>147</v>
      </c>
    </row>
    <row r="261" spans="1:13" hidden="1">
      <c r="A261" t="s">
        <v>33</v>
      </c>
      <c r="B261">
        <v>2016</v>
      </c>
      <c r="C261" t="s">
        <v>46</v>
      </c>
      <c r="D261" s="3">
        <v>1729.8</v>
      </c>
      <c r="E261" s="3">
        <v>145</v>
      </c>
      <c r="F261" s="3">
        <v>381</v>
      </c>
      <c r="G261" s="3">
        <v>128.5</v>
      </c>
      <c r="H261" s="3">
        <v>117.8</v>
      </c>
      <c r="I261" s="3">
        <v>122.3</v>
      </c>
      <c r="J261" s="3">
        <v>132.30000000000001</v>
      </c>
      <c r="K261" s="3">
        <v>601.79999999999995</v>
      </c>
      <c r="L261" s="3">
        <v>127.6</v>
      </c>
      <c r="M261" s="10" t="s">
        <v>147</v>
      </c>
    </row>
    <row r="262" spans="1:13" hidden="1">
      <c r="A262" t="s">
        <v>30</v>
      </c>
      <c r="B262">
        <v>2016</v>
      </c>
      <c r="C262" t="s">
        <v>41</v>
      </c>
      <c r="D262" s="3">
        <v>1777.4999999999998</v>
      </c>
      <c r="E262" s="3">
        <v>138.9</v>
      </c>
      <c r="F262" s="3">
        <v>407.9</v>
      </c>
      <c r="G262" s="3">
        <v>126.5</v>
      </c>
      <c r="H262" s="3">
        <v>129.1</v>
      </c>
      <c r="I262" s="3">
        <v>127</v>
      </c>
      <c r="J262" s="3">
        <v>131.9</v>
      </c>
      <c r="K262" s="3">
        <v>618.30000000000007</v>
      </c>
      <c r="L262" s="3">
        <v>133.5</v>
      </c>
      <c r="M262" s="10" t="s">
        <v>148</v>
      </c>
    </row>
    <row r="263" spans="1:13" hidden="1">
      <c r="A263" t="s">
        <v>33</v>
      </c>
      <c r="B263">
        <v>2016</v>
      </c>
      <c r="C263" t="s">
        <v>41</v>
      </c>
      <c r="D263" s="3">
        <v>1783.9999999999995</v>
      </c>
      <c r="E263" s="3">
        <v>143.6</v>
      </c>
      <c r="F263" s="3">
        <v>377</v>
      </c>
      <c r="G263" s="3">
        <v>127.3</v>
      </c>
      <c r="H263" s="3">
        <v>114.7</v>
      </c>
      <c r="I263" s="3">
        <v>121.2</v>
      </c>
      <c r="J263" s="3">
        <v>131.5</v>
      </c>
      <c r="K263" s="3">
        <v>595.69999999999993</v>
      </c>
      <c r="L263" s="3">
        <v>128.4</v>
      </c>
      <c r="M263" s="10" t="s">
        <v>148</v>
      </c>
    </row>
    <row r="264" spans="1:13" hidden="1">
      <c r="A264" t="s">
        <v>30</v>
      </c>
      <c r="B264">
        <v>2016</v>
      </c>
      <c r="C264" t="s">
        <v>37</v>
      </c>
      <c r="D264" s="3">
        <v>1701.6000000000004</v>
      </c>
      <c r="E264" s="3">
        <v>135.5</v>
      </c>
      <c r="F264" s="3">
        <v>400</v>
      </c>
      <c r="G264" s="3">
        <v>126.5</v>
      </c>
      <c r="H264" s="3">
        <v>127</v>
      </c>
      <c r="I264" s="3">
        <v>125.2</v>
      </c>
      <c r="J264" s="3">
        <v>127.9</v>
      </c>
      <c r="K264" s="3">
        <v>605.70000000000005</v>
      </c>
      <c r="L264" s="3">
        <v>129</v>
      </c>
      <c r="M264" s="10" t="s">
        <v>149</v>
      </c>
    </row>
    <row r="265" spans="1:13" hidden="1">
      <c r="A265" t="s">
        <v>33</v>
      </c>
      <c r="B265">
        <v>2016</v>
      </c>
      <c r="C265" t="s">
        <v>37</v>
      </c>
      <c r="D265" s="3">
        <v>1706.3</v>
      </c>
      <c r="E265" s="3">
        <v>141.5</v>
      </c>
      <c r="F265" s="3">
        <v>373.1</v>
      </c>
      <c r="G265" s="3">
        <v>125.6</v>
      </c>
      <c r="H265" s="3">
        <v>114.6</v>
      </c>
      <c r="I265" s="3">
        <v>120</v>
      </c>
      <c r="J265" s="3">
        <v>127.6</v>
      </c>
      <c r="K265" s="3">
        <v>588.1</v>
      </c>
      <c r="L265" s="3">
        <v>125.3</v>
      </c>
      <c r="M265" s="10" t="s">
        <v>149</v>
      </c>
    </row>
    <row r="266" spans="1:13" hidden="1">
      <c r="A266" t="s">
        <v>30</v>
      </c>
      <c r="B266">
        <v>2015</v>
      </c>
      <c r="C266" t="s">
        <v>42</v>
      </c>
      <c r="D266" s="3">
        <v>1657.6000000000001</v>
      </c>
      <c r="E266" s="3">
        <v>131</v>
      </c>
      <c r="F266" s="3">
        <v>387.1</v>
      </c>
      <c r="G266" s="3">
        <v>120.1</v>
      </c>
      <c r="H266" s="3">
        <v>123.7</v>
      </c>
      <c r="I266" s="3">
        <v>121.4</v>
      </c>
      <c r="J266" s="3">
        <v>124.5</v>
      </c>
      <c r="K266" s="3">
        <v>590.4</v>
      </c>
      <c r="L266" s="3">
        <v>127</v>
      </c>
      <c r="M266" s="10" t="s">
        <v>150</v>
      </c>
    </row>
    <row r="267" spans="1:13" hidden="1">
      <c r="A267" t="s">
        <v>33</v>
      </c>
      <c r="B267">
        <v>2015</v>
      </c>
      <c r="C267" t="s">
        <v>42</v>
      </c>
      <c r="D267" s="3">
        <v>1664.8</v>
      </c>
      <c r="E267" s="3">
        <v>134.69999999999999</v>
      </c>
      <c r="F267" s="3">
        <v>365.8</v>
      </c>
      <c r="G267" s="3">
        <v>121.6</v>
      </c>
      <c r="H267" s="3">
        <v>115.1</v>
      </c>
      <c r="I267" s="3">
        <v>117.1</v>
      </c>
      <c r="J267" s="3">
        <v>126.5</v>
      </c>
      <c r="K267" s="3">
        <v>575.90000000000009</v>
      </c>
      <c r="L267" s="3">
        <v>123.5</v>
      </c>
      <c r="M267" s="10" t="s">
        <v>150</v>
      </c>
    </row>
    <row r="268" spans="1:13" hidden="1">
      <c r="A268" t="s">
        <v>34</v>
      </c>
      <c r="B268">
        <v>2015</v>
      </c>
      <c r="C268" t="s">
        <v>42</v>
      </c>
      <c r="D268" s="3">
        <v>1658.3000000000002</v>
      </c>
      <c r="E268" s="3">
        <v>132</v>
      </c>
      <c r="F268" s="3">
        <v>378.5</v>
      </c>
      <c r="G268" s="3">
        <v>121.6</v>
      </c>
      <c r="H268" s="3">
        <v>120.4</v>
      </c>
      <c r="I268" s="3">
        <v>119.8</v>
      </c>
      <c r="J268" s="3">
        <v>125.7</v>
      </c>
      <c r="K268" s="3">
        <v>583.1</v>
      </c>
      <c r="L268" s="3">
        <v>125.4</v>
      </c>
      <c r="M268" s="10" t="s">
        <v>150</v>
      </c>
    </row>
    <row r="269" spans="1:13" hidden="1">
      <c r="A269" t="s">
        <v>30</v>
      </c>
      <c r="B269">
        <v>2015</v>
      </c>
      <c r="C269" t="s">
        <v>43</v>
      </c>
      <c r="D269" s="3">
        <v>1674.6</v>
      </c>
      <c r="E269" s="3">
        <v>131.5</v>
      </c>
      <c r="F269" s="3">
        <v>389</v>
      </c>
      <c r="G269" s="3">
        <v>120.1</v>
      </c>
      <c r="H269" s="3">
        <v>124.4</v>
      </c>
      <c r="I269" s="3">
        <v>122</v>
      </c>
      <c r="J269" s="3">
        <v>125.1</v>
      </c>
      <c r="K269" s="3">
        <v>592.4</v>
      </c>
      <c r="L269" s="3">
        <v>127.7</v>
      </c>
      <c r="M269" s="10" t="s">
        <v>151</v>
      </c>
    </row>
    <row r="270" spans="1:13" hidden="1">
      <c r="A270" t="s">
        <v>33</v>
      </c>
      <c r="B270">
        <v>2015</v>
      </c>
      <c r="C270" t="s">
        <v>43</v>
      </c>
      <c r="D270" s="3">
        <v>1692.8000000000002</v>
      </c>
      <c r="E270" s="3">
        <v>135.30000000000001</v>
      </c>
      <c r="F270" s="3">
        <v>366.79999999999995</v>
      </c>
      <c r="G270" s="3">
        <v>122.4</v>
      </c>
      <c r="H270" s="3">
        <v>114.9</v>
      </c>
      <c r="I270" s="3">
        <v>117.7</v>
      </c>
      <c r="J270" s="3">
        <v>126.5</v>
      </c>
      <c r="K270" s="3">
        <v>577.70000000000005</v>
      </c>
      <c r="L270" s="3">
        <v>124.2</v>
      </c>
      <c r="M270" s="10" t="s">
        <v>151</v>
      </c>
    </row>
    <row r="271" spans="1:13" hidden="1">
      <c r="A271" t="s">
        <v>34</v>
      </c>
      <c r="B271">
        <v>2015</v>
      </c>
      <c r="C271" t="s">
        <v>43</v>
      </c>
      <c r="D271" s="3">
        <v>1678.9999999999998</v>
      </c>
      <c r="E271" s="3">
        <v>132.5</v>
      </c>
      <c r="F271" s="3">
        <v>380.1</v>
      </c>
      <c r="G271" s="3">
        <v>122.4</v>
      </c>
      <c r="H271" s="3">
        <v>120.8</v>
      </c>
      <c r="I271" s="3">
        <v>120.4</v>
      </c>
      <c r="J271" s="3">
        <v>125.9</v>
      </c>
      <c r="K271" s="3">
        <v>584.9</v>
      </c>
      <c r="L271" s="3">
        <v>126.1</v>
      </c>
      <c r="M271" s="10" t="s">
        <v>151</v>
      </c>
    </row>
    <row r="272" spans="1:13" hidden="1">
      <c r="A272" t="s">
        <v>30</v>
      </c>
      <c r="B272">
        <v>2015</v>
      </c>
      <c r="C272" t="s">
        <v>45</v>
      </c>
      <c r="D272" s="3">
        <v>1686.3</v>
      </c>
      <c r="E272" s="3">
        <v>132.19999999999999</v>
      </c>
      <c r="F272" s="3">
        <v>391.79999999999995</v>
      </c>
      <c r="G272" s="3">
        <v>120.1</v>
      </c>
      <c r="H272" s="3">
        <v>125.6</v>
      </c>
      <c r="I272" s="3">
        <v>122.6</v>
      </c>
      <c r="J272" s="3">
        <v>125.8</v>
      </c>
      <c r="K272" s="3">
        <v>594.29999999999995</v>
      </c>
      <c r="L272" s="3">
        <v>128.30000000000001</v>
      </c>
      <c r="M272" s="10" t="s">
        <v>152</v>
      </c>
    </row>
    <row r="273" spans="1:13" hidden="1">
      <c r="A273" t="s">
        <v>33</v>
      </c>
      <c r="B273">
        <v>2015</v>
      </c>
      <c r="C273" t="s">
        <v>45</v>
      </c>
      <c r="D273" s="3">
        <v>1708.4999999999998</v>
      </c>
      <c r="E273" s="3">
        <v>137.6</v>
      </c>
      <c r="F273" s="3">
        <v>368.5</v>
      </c>
      <c r="G273" s="3">
        <v>122.9</v>
      </c>
      <c r="H273" s="3">
        <v>115.1</v>
      </c>
      <c r="I273" s="3">
        <v>118.1</v>
      </c>
      <c r="J273" s="3">
        <v>126.6</v>
      </c>
      <c r="K273" s="3">
        <v>578.1</v>
      </c>
      <c r="L273" s="3">
        <v>124.6</v>
      </c>
      <c r="M273" s="10" t="s">
        <v>152</v>
      </c>
    </row>
    <row r="274" spans="1:13" hidden="1">
      <c r="A274" t="s">
        <v>34</v>
      </c>
      <c r="B274">
        <v>2015</v>
      </c>
      <c r="C274" t="s">
        <v>45</v>
      </c>
      <c r="D274" s="3">
        <v>1692.1</v>
      </c>
      <c r="E274" s="3">
        <v>133.6</v>
      </c>
      <c r="F274" s="3">
        <v>382.4</v>
      </c>
      <c r="G274" s="3">
        <v>122.9</v>
      </c>
      <c r="H274" s="3">
        <v>121.6</v>
      </c>
      <c r="I274" s="3">
        <v>120.9</v>
      </c>
      <c r="J274" s="3">
        <v>126.3</v>
      </c>
      <c r="K274" s="3">
        <v>586</v>
      </c>
      <c r="L274" s="3">
        <v>126.6</v>
      </c>
      <c r="M274" s="10" t="s">
        <v>152</v>
      </c>
    </row>
    <row r="275" spans="1:13" hidden="1">
      <c r="A275" t="s">
        <v>30</v>
      </c>
      <c r="B275">
        <v>2015</v>
      </c>
      <c r="C275" t="s">
        <v>38</v>
      </c>
      <c r="D275" s="3">
        <v>1587.7</v>
      </c>
      <c r="E275" s="3">
        <v>126.7</v>
      </c>
      <c r="F275" s="3">
        <v>378.2</v>
      </c>
      <c r="G275" s="3">
        <v>120.1</v>
      </c>
      <c r="H275" s="3">
        <v>121.9</v>
      </c>
      <c r="I275" s="3">
        <v>119.4</v>
      </c>
      <c r="J275" s="3">
        <v>120.5</v>
      </c>
      <c r="K275" s="3">
        <v>580.70000000000005</v>
      </c>
      <c r="L275" s="3">
        <v>122.4</v>
      </c>
      <c r="M275" s="10" t="s">
        <v>153</v>
      </c>
    </row>
    <row r="276" spans="1:13" hidden="1">
      <c r="A276" t="s">
        <v>33</v>
      </c>
      <c r="B276">
        <v>2015</v>
      </c>
      <c r="C276" t="s">
        <v>38</v>
      </c>
      <c r="D276" s="3">
        <v>1598.9</v>
      </c>
      <c r="E276" s="3">
        <v>131.30000000000001</v>
      </c>
      <c r="F276" s="3">
        <v>361.4</v>
      </c>
      <c r="G276" s="3">
        <v>119.6</v>
      </c>
      <c r="H276" s="3">
        <v>114.9</v>
      </c>
      <c r="I276" s="3">
        <v>114.9</v>
      </c>
      <c r="J276" s="3">
        <v>122</v>
      </c>
      <c r="K276" s="3">
        <v>573.1</v>
      </c>
      <c r="L276" s="3">
        <v>120.7</v>
      </c>
      <c r="M276" s="10" t="s">
        <v>153</v>
      </c>
    </row>
    <row r="277" spans="1:13" hidden="1">
      <c r="A277" t="s">
        <v>34</v>
      </c>
      <c r="B277">
        <v>2015</v>
      </c>
      <c r="C277" t="s">
        <v>38</v>
      </c>
      <c r="D277" s="3">
        <v>1590.4</v>
      </c>
      <c r="E277" s="3">
        <v>127.9</v>
      </c>
      <c r="F277" s="3">
        <v>371.4</v>
      </c>
      <c r="G277" s="3">
        <v>119.6</v>
      </c>
      <c r="H277" s="3">
        <v>119.2</v>
      </c>
      <c r="I277" s="3">
        <v>117.7</v>
      </c>
      <c r="J277" s="3">
        <v>121.4</v>
      </c>
      <c r="K277" s="3">
        <v>576.9</v>
      </c>
      <c r="L277" s="3">
        <v>121.6</v>
      </c>
      <c r="M277" s="10" t="s">
        <v>153</v>
      </c>
    </row>
    <row r="278" spans="1:13" hidden="1">
      <c r="A278" t="s">
        <v>30</v>
      </c>
      <c r="B278">
        <v>2015</v>
      </c>
      <c r="C278" t="s">
        <v>36</v>
      </c>
      <c r="D278" s="3">
        <v>1571.5</v>
      </c>
      <c r="E278" s="3">
        <v>124.7</v>
      </c>
      <c r="F278" s="3">
        <v>374.4</v>
      </c>
      <c r="G278" s="3">
        <v>120.1</v>
      </c>
      <c r="H278" s="3">
        <v>120.6</v>
      </c>
      <c r="I278" s="3">
        <v>118.2</v>
      </c>
      <c r="J278" s="3">
        <v>119.4</v>
      </c>
      <c r="K278" s="3">
        <v>573.6</v>
      </c>
      <c r="L278" s="3">
        <v>121.1</v>
      </c>
      <c r="M278" s="10" t="s">
        <v>154</v>
      </c>
    </row>
    <row r="279" spans="1:13" hidden="1">
      <c r="A279" t="s">
        <v>33</v>
      </c>
      <c r="B279">
        <v>2015</v>
      </c>
      <c r="C279" t="s">
        <v>36</v>
      </c>
      <c r="D279" s="3">
        <v>1568.0000000000002</v>
      </c>
      <c r="E279" s="3">
        <v>128.80000000000001</v>
      </c>
      <c r="F279" s="3">
        <v>359.5</v>
      </c>
      <c r="G279" s="3">
        <v>118.6</v>
      </c>
      <c r="H279" s="3">
        <v>114.4</v>
      </c>
      <c r="I279" s="3">
        <v>114.3</v>
      </c>
      <c r="J279" s="3">
        <v>120.6</v>
      </c>
      <c r="K279" s="3">
        <v>566.9</v>
      </c>
      <c r="L279" s="3">
        <v>119.1</v>
      </c>
      <c r="M279" s="10" t="s">
        <v>154</v>
      </c>
    </row>
    <row r="280" spans="1:13" hidden="1">
      <c r="A280" t="s">
        <v>34</v>
      </c>
      <c r="B280">
        <v>2015</v>
      </c>
      <c r="C280" t="s">
        <v>36</v>
      </c>
      <c r="D280" s="3">
        <v>1569.1</v>
      </c>
      <c r="E280" s="3">
        <v>125.8</v>
      </c>
      <c r="F280" s="3">
        <v>368.4</v>
      </c>
      <c r="G280" s="3">
        <v>118.6</v>
      </c>
      <c r="H280" s="3">
        <v>118.3</v>
      </c>
      <c r="I280" s="3">
        <v>116.7</v>
      </c>
      <c r="J280" s="3">
        <v>120.1</v>
      </c>
      <c r="K280" s="3">
        <v>570.20000000000005</v>
      </c>
      <c r="L280" s="3">
        <v>120.2</v>
      </c>
      <c r="M280" s="10" t="s">
        <v>154</v>
      </c>
    </row>
    <row r="281" spans="1:13" hidden="1">
      <c r="A281" t="s">
        <v>30</v>
      </c>
      <c r="B281">
        <v>2015</v>
      </c>
      <c r="C281" t="s">
        <v>39</v>
      </c>
      <c r="D281" s="3">
        <v>1617.8999999999999</v>
      </c>
      <c r="E281" s="3">
        <v>128.19999999999999</v>
      </c>
      <c r="F281" s="3">
        <v>381.5</v>
      </c>
      <c r="G281" s="3">
        <v>120.1</v>
      </c>
      <c r="H281" s="3">
        <v>122.6</v>
      </c>
      <c r="I281" s="3">
        <v>120.4</v>
      </c>
      <c r="J281" s="3">
        <v>122</v>
      </c>
      <c r="K281" s="3">
        <v>585.79999999999995</v>
      </c>
      <c r="L281" s="3">
        <v>124.1</v>
      </c>
      <c r="M281" s="10" t="s">
        <v>155</v>
      </c>
    </row>
    <row r="282" spans="1:13" hidden="1">
      <c r="A282" t="s">
        <v>33</v>
      </c>
      <c r="B282">
        <v>2015</v>
      </c>
      <c r="C282" t="s">
        <v>39</v>
      </c>
      <c r="D282" s="3">
        <v>1636.6</v>
      </c>
      <c r="E282" s="3">
        <v>132.1</v>
      </c>
      <c r="F282" s="3">
        <v>363.1</v>
      </c>
      <c r="G282" s="3">
        <v>119</v>
      </c>
      <c r="H282" s="3">
        <v>115.1</v>
      </c>
      <c r="I282" s="3">
        <v>115.4</v>
      </c>
      <c r="J282" s="3">
        <v>123.8</v>
      </c>
      <c r="K282" s="3">
        <v>575.6</v>
      </c>
      <c r="L282" s="3">
        <v>121.7</v>
      </c>
      <c r="M282" s="10" t="s">
        <v>155</v>
      </c>
    </row>
    <row r="283" spans="1:13" hidden="1">
      <c r="A283" t="s">
        <v>34</v>
      </c>
      <c r="B283">
        <v>2015</v>
      </c>
      <c r="C283" t="s">
        <v>39</v>
      </c>
      <c r="D283" s="3">
        <v>1623.5</v>
      </c>
      <c r="E283" s="3">
        <v>129.19999999999999</v>
      </c>
      <c r="F283" s="3">
        <v>374.1</v>
      </c>
      <c r="G283" s="3">
        <v>119</v>
      </c>
      <c r="H283" s="3">
        <v>119.8</v>
      </c>
      <c r="I283" s="3">
        <v>118.5</v>
      </c>
      <c r="J283" s="3">
        <v>123.1</v>
      </c>
      <c r="K283" s="3">
        <v>580.70000000000005</v>
      </c>
      <c r="L283" s="3">
        <v>123</v>
      </c>
      <c r="M283" s="10" t="s">
        <v>155</v>
      </c>
    </row>
    <row r="284" spans="1:13" hidden="1">
      <c r="A284" t="s">
        <v>30</v>
      </c>
      <c r="B284">
        <v>2015</v>
      </c>
      <c r="C284" t="s">
        <v>40</v>
      </c>
      <c r="D284" s="3">
        <v>1625.3</v>
      </c>
      <c r="E284" s="3">
        <v>129.4</v>
      </c>
      <c r="F284" s="3">
        <v>382.6</v>
      </c>
      <c r="G284" s="3">
        <v>120.1</v>
      </c>
      <c r="H284" s="3">
        <v>123</v>
      </c>
      <c r="I284" s="3">
        <v>120.8</v>
      </c>
      <c r="J284" s="3">
        <v>122.9</v>
      </c>
      <c r="K284" s="3">
        <v>585.9</v>
      </c>
      <c r="L284" s="3">
        <v>124.7</v>
      </c>
      <c r="M284" s="10" t="s">
        <v>156</v>
      </c>
    </row>
    <row r="285" spans="1:13" hidden="1">
      <c r="A285" t="s">
        <v>33</v>
      </c>
      <c r="B285">
        <v>2015</v>
      </c>
      <c r="C285" t="s">
        <v>40</v>
      </c>
      <c r="D285" s="3">
        <v>1642.8999999999999</v>
      </c>
      <c r="E285" s="3">
        <v>133.1</v>
      </c>
      <c r="F285" s="3">
        <v>364.1</v>
      </c>
      <c r="G285" s="3">
        <v>119.9</v>
      </c>
      <c r="H285" s="3">
        <v>115.3</v>
      </c>
      <c r="I285" s="3">
        <v>116</v>
      </c>
      <c r="J285" s="3">
        <v>125.4</v>
      </c>
      <c r="K285" s="3">
        <v>575.6</v>
      </c>
      <c r="L285" s="3">
        <v>122.4</v>
      </c>
      <c r="M285" s="10" t="s">
        <v>156</v>
      </c>
    </row>
    <row r="286" spans="1:13" hidden="1">
      <c r="A286" t="s">
        <v>34</v>
      </c>
      <c r="B286">
        <v>2015</v>
      </c>
      <c r="C286" t="s">
        <v>40</v>
      </c>
      <c r="D286" s="3">
        <v>1630.6000000000001</v>
      </c>
      <c r="E286" s="3">
        <v>130.4</v>
      </c>
      <c r="F286" s="3">
        <v>375.1</v>
      </c>
      <c r="G286" s="3">
        <v>119.9</v>
      </c>
      <c r="H286" s="3">
        <v>120.1</v>
      </c>
      <c r="I286" s="3">
        <v>119</v>
      </c>
      <c r="J286" s="3">
        <v>124.4</v>
      </c>
      <c r="K286" s="3">
        <v>580.70000000000005</v>
      </c>
      <c r="L286" s="3">
        <v>123.6</v>
      </c>
      <c r="M286" s="10" t="s">
        <v>156</v>
      </c>
    </row>
    <row r="287" spans="1:13" hidden="1">
      <c r="A287" t="s">
        <v>30</v>
      </c>
      <c r="B287">
        <v>2015</v>
      </c>
      <c r="C287" t="s">
        <v>31</v>
      </c>
      <c r="D287" s="3">
        <v>1568.1</v>
      </c>
      <c r="E287" s="3">
        <v>122.7</v>
      </c>
      <c r="F287" s="3">
        <v>370</v>
      </c>
      <c r="G287" s="3">
        <v>120.1</v>
      </c>
      <c r="H287" s="3">
        <v>118.4</v>
      </c>
      <c r="I287" s="3">
        <v>116.6</v>
      </c>
      <c r="J287" s="3">
        <v>118.2</v>
      </c>
      <c r="K287" s="3">
        <v>568.59999999999991</v>
      </c>
      <c r="L287" s="3">
        <v>120.3</v>
      </c>
      <c r="M287" s="10" t="s">
        <v>157</v>
      </c>
    </row>
    <row r="288" spans="1:13" hidden="1">
      <c r="A288" t="s">
        <v>33</v>
      </c>
      <c r="B288">
        <v>2015</v>
      </c>
      <c r="C288" t="s">
        <v>31</v>
      </c>
      <c r="D288" s="3">
        <v>1574.8999999999999</v>
      </c>
      <c r="E288" s="3">
        <v>127.4</v>
      </c>
      <c r="F288" s="3">
        <v>357.3</v>
      </c>
      <c r="G288" s="3">
        <v>117.3</v>
      </c>
      <c r="H288" s="3">
        <v>113.4</v>
      </c>
      <c r="I288" s="3">
        <v>113.7</v>
      </c>
      <c r="J288" s="3">
        <v>120.8</v>
      </c>
      <c r="K288" s="3">
        <v>564.5</v>
      </c>
      <c r="L288" s="3">
        <v>118.5</v>
      </c>
      <c r="M288" s="10" t="s">
        <v>157</v>
      </c>
    </row>
    <row r="289" spans="1:13" hidden="1">
      <c r="A289" t="s">
        <v>34</v>
      </c>
      <c r="B289">
        <v>2015</v>
      </c>
      <c r="C289" t="s">
        <v>31</v>
      </c>
      <c r="D289" s="3">
        <v>1569.3</v>
      </c>
      <c r="E289" s="3">
        <v>124</v>
      </c>
      <c r="F289" s="3">
        <v>364.9</v>
      </c>
      <c r="G289" s="3">
        <v>117.3</v>
      </c>
      <c r="H289" s="3">
        <v>116.5</v>
      </c>
      <c r="I289" s="3">
        <v>115.5</v>
      </c>
      <c r="J289" s="3">
        <v>119.7</v>
      </c>
      <c r="K289" s="3">
        <v>566.5</v>
      </c>
      <c r="L289" s="3">
        <v>119.5</v>
      </c>
      <c r="M289" s="10" t="s">
        <v>157</v>
      </c>
    </row>
    <row r="290" spans="1:13" hidden="1">
      <c r="A290" t="s">
        <v>30</v>
      </c>
      <c r="B290">
        <v>2015</v>
      </c>
      <c r="C290" t="s">
        <v>35</v>
      </c>
      <c r="D290" s="3">
        <v>1570.5999999999997</v>
      </c>
      <c r="E290" s="3">
        <v>124.2</v>
      </c>
      <c r="F290" s="3">
        <v>373.1</v>
      </c>
      <c r="G290" s="3">
        <v>120.1</v>
      </c>
      <c r="H290" s="3">
        <v>120</v>
      </c>
      <c r="I290" s="3">
        <v>117.7</v>
      </c>
      <c r="J290" s="3">
        <v>118.7</v>
      </c>
      <c r="K290" s="3">
        <v>571.1</v>
      </c>
      <c r="L290" s="3">
        <v>120.6</v>
      </c>
      <c r="M290" s="10" t="s">
        <v>158</v>
      </c>
    </row>
    <row r="291" spans="1:13" hidden="1">
      <c r="A291" t="s">
        <v>33</v>
      </c>
      <c r="B291">
        <v>2015</v>
      </c>
      <c r="C291" t="s">
        <v>35</v>
      </c>
      <c r="D291" s="3">
        <v>1571.1000000000001</v>
      </c>
      <c r="E291" s="3">
        <v>128.1</v>
      </c>
      <c r="F291" s="3">
        <v>358.4</v>
      </c>
      <c r="G291" s="3">
        <v>118.1</v>
      </c>
      <c r="H291" s="3">
        <v>114</v>
      </c>
      <c r="I291" s="3">
        <v>114.1</v>
      </c>
      <c r="J291" s="3">
        <v>120.4</v>
      </c>
      <c r="K291" s="3">
        <v>564.29999999999995</v>
      </c>
      <c r="L291" s="3">
        <v>118.7</v>
      </c>
      <c r="M291" s="10" t="s">
        <v>158</v>
      </c>
    </row>
    <row r="292" spans="1:13" hidden="1">
      <c r="A292" t="s">
        <v>34</v>
      </c>
      <c r="B292">
        <v>2015</v>
      </c>
      <c r="C292" t="s">
        <v>35</v>
      </c>
      <c r="D292" s="3">
        <v>1569.3999999999996</v>
      </c>
      <c r="E292" s="3">
        <v>125.2</v>
      </c>
      <c r="F292" s="3">
        <v>367.2</v>
      </c>
      <c r="G292" s="3">
        <v>118.1</v>
      </c>
      <c r="H292" s="3">
        <v>117.7</v>
      </c>
      <c r="I292" s="3">
        <v>116.3</v>
      </c>
      <c r="J292" s="3">
        <v>119.7</v>
      </c>
      <c r="K292" s="3">
        <v>567.6</v>
      </c>
      <c r="L292" s="3">
        <v>119.7</v>
      </c>
      <c r="M292" s="10" t="s">
        <v>158</v>
      </c>
    </row>
    <row r="293" spans="1:13" hidden="1">
      <c r="A293" t="s">
        <v>30</v>
      </c>
      <c r="B293">
        <v>2015</v>
      </c>
      <c r="C293" t="s">
        <v>46</v>
      </c>
      <c r="D293" s="3">
        <v>1682.3000000000002</v>
      </c>
      <c r="E293" s="3">
        <v>133.1</v>
      </c>
      <c r="F293" s="3">
        <v>392.9</v>
      </c>
      <c r="G293" s="3">
        <v>120.1</v>
      </c>
      <c r="H293" s="3">
        <v>125.7</v>
      </c>
      <c r="I293" s="3">
        <v>123.1</v>
      </c>
      <c r="J293" s="3">
        <v>125.6</v>
      </c>
      <c r="K293" s="3">
        <v>595.5</v>
      </c>
      <c r="L293" s="3">
        <v>127.9</v>
      </c>
      <c r="M293" s="10" t="s">
        <v>159</v>
      </c>
    </row>
    <row r="294" spans="1:13" hidden="1">
      <c r="A294" t="s">
        <v>33</v>
      </c>
      <c r="B294">
        <v>2015</v>
      </c>
      <c r="C294" t="s">
        <v>46</v>
      </c>
      <c r="D294" s="3">
        <v>1698.8</v>
      </c>
      <c r="E294" s="3">
        <v>138.19999999999999</v>
      </c>
      <c r="F294" s="3">
        <v>369.4</v>
      </c>
      <c r="G294" s="3">
        <v>122.4</v>
      </c>
      <c r="H294" s="3">
        <v>116</v>
      </c>
      <c r="I294" s="3">
        <v>118.6</v>
      </c>
      <c r="J294" s="3">
        <v>126.6</v>
      </c>
      <c r="K294" s="3">
        <v>578.29999999999995</v>
      </c>
      <c r="L294" s="3">
        <v>124</v>
      </c>
      <c r="M294" s="10" t="s">
        <v>159</v>
      </c>
    </row>
    <row r="295" spans="1:13" hidden="1">
      <c r="A295" t="s">
        <v>34</v>
      </c>
      <c r="B295">
        <v>2015</v>
      </c>
      <c r="C295" t="s">
        <v>46</v>
      </c>
      <c r="D295" s="3">
        <v>1686.1000000000001</v>
      </c>
      <c r="E295" s="3">
        <v>134.5</v>
      </c>
      <c r="F295" s="3">
        <v>383.5</v>
      </c>
      <c r="G295" s="3">
        <v>122.4</v>
      </c>
      <c r="H295" s="3">
        <v>122</v>
      </c>
      <c r="I295" s="3">
        <v>121.4</v>
      </c>
      <c r="J295" s="3">
        <v>126.2</v>
      </c>
      <c r="K295" s="3">
        <v>586.69999999999993</v>
      </c>
      <c r="L295" s="3">
        <v>126.1</v>
      </c>
      <c r="M295" s="10" t="s">
        <v>159</v>
      </c>
    </row>
    <row r="296" spans="1:13" hidden="1">
      <c r="A296" t="s">
        <v>30</v>
      </c>
      <c r="B296">
        <v>2015</v>
      </c>
      <c r="C296" t="s">
        <v>41</v>
      </c>
      <c r="D296" s="3">
        <v>1646.6</v>
      </c>
      <c r="E296" s="3">
        <v>130.1</v>
      </c>
      <c r="F296" s="3">
        <v>384.8</v>
      </c>
      <c r="G296" s="3">
        <v>120.1</v>
      </c>
      <c r="H296" s="3">
        <v>123.8</v>
      </c>
      <c r="I296" s="3">
        <v>121.1</v>
      </c>
      <c r="J296" s="3">
        <v>123.6</v>
      </c>
      <c r="K296" s="3">
        <v>586.5</v>
      </c>
      <c r="L296" s="3">
        <v>126.1</v>
      </c>
      <c r="M296" s="10" t="s">
        <v>160</v>
      </c>
    </row>
    <row r="297" spans="1:13" hidden="1">
      <c r="A297" t="s">
        <v>33</v>
      </c>
      <c r="B297">
        <v>2015</v>
      </c>
      <c r="C297" t="s">
        <v>41</v>
      </c>
      <c r="D297" s="3">
        <v>1658.8999999999999</v>
      </c>
      <c r="E297" s="3">
        <v>134.19999999999999</v>
      </c>
      <c r="F297" s="3">
        <v>364.8</v>
      </c>
      <c r="G297" s="3">
        <v>120.9</v>
      </c>
      <c r="H297" s="3">
        <v>115.3</v>
      </c>
      <c r="I297" s="3">
        <v>116.6</v>
      </c>
      <c r="J297" s="3">
        <v>126.2</v>
      </c>
      <c r="K297" s="3">
        <v>575.30000000000007</v>
      </c>
      <c r="L297" s="3">
        <v>123.2</v>
      </c>
      <c r="M297" s="10" t="s">
        <v>160</v>
      </c>
    </row>
    <row r="298" spans="1:13" hidden="1">
      <c r="A298" t="s">
        <v>34</v>
      </c>
      <c r="B298">
        <v>2015</v>
      </c>
      <c r="C298" t="s">
        <v>41</v>
      </c>
      <c r="D298" s="3">
        <v>1649.6</v>
      </c>
      <c r="E298" s="3">
        <v>131.19999999999999</v>
      </c>
      <c r="F298" s="3">
        <v>376.70000000000005</v>
      </c>
      <c r="G298" s="3">
        <v>120.9</v>
      </c>
      <c r="H298" s="3">
        <v>120.6</v>
      </c>
      <c r="I298" s="3">
        <v>119.4</v>
      </c>
      <c r="J298" s="3">
        <v>125.1</v>
      </c>
      <c r="K298" s="3">
        <v>581</v>
      </c>
      <c r="L298" s="3">
        <v>124.8</v>
      </c>
      <c r="M298" s="10" t="s">
        <v>160</v>
      </c>
    </row>
    <row r="299" spans="1:13" hidden="1">
      <c r="A299" t="s">
        <v>30</v>
      </c>
      <c r="B299">
        <v>2015</v>
      </c>
      <c r="C299" t="s">
        <v>37</v>
      </c>
      <c r="D299" s="3">
        <v>1577.2</v>
      </c>
      <c r="E299" s="3">
        <v>125.7</v>
      </c>
      <c r="F299" s="3">
        <v>375.7</v>
      </c>
      <c r="G299" s="3">
        <v>120.1</v>
      </c>
      <c r="H299" s="3">
        <v>121.2</v>
      </c>
      <c r="I299" s="3">
        <v>118.6</v>
      </c>
      <c r="J299" s="3">
        <v>119.9</v>
      </c>
      <c r="K299" s="3">
        <v>576.6</v>
      </c>
      <c r="L299" s="3">
        <v>121.5</v>
      </c>
      <c r="M299" s="10" t="s">
        <v>161</v>
      </c>
    </row>
    <row r="300" spans="1:13" hidden="1">
      <c r="A300" t="s">
        <v>33</v>
      </c>
      <c r="B300">
        <v>2015</v>
      </c>
      <c r="C300" t="s">
        <v>37</v>
      </c>
      <c r="D300" s="3">
        <v>1576.1</v>
      </c>
      <c r="E300" s="3">
        <v>130.1</v>
      </c>
      <c r="F300" s="3">
        <v>360.6</v>
      </c>
      <c r="G300" s="3">
        <v>119.2</v>
      </c>
      <c r="H300" s="3">
        <v>114.7</v>
      </c>
      <c r="I300" s="3">
        <v>114.6</v>
      </c>
      <c r="J300" s="3">
        <v>121.7</v>
      </c>
      <c r="K300" s="3">
        <v>568.4</v>
      </c>
      <c r="L300" s="3">
        <v>119.7</v>
      </c>
      <c r="M300" s="10" t="s">
        <v>161</v>
      </c>
    </row>
    <row r="301" spans="1:13" hidden="1">
      <c r="A301" t="s">
        <v>34</v>
      </c>
      <c r="B301">
        <v>2015</v>
      </c>
      <c r="C301" t="s">
        <v>37</v>
      </c>
      <c r="D301" s="3">
        <v>1575.7</v>
      </c>
      <c r="E301" s="3">
        <v>126.9</v>
      </c>
      <c r="F301" s="3">
        <v>369.6</v>
      </c>
      <c r="G301" s="3">
        <v>119.2</v>
      </c>
      <c r="H301" s="3">
        <v>118.7</v>
      </c>
      <c r="I301" s="3">
        <v>117.1</v>
      </c>
      <c r="J301" s="3">
        <v>121</v>
      </c>
      <c r="K301" s="3">
        <v>572.5</v>
      </c>
      <c r="L301" s="3">
        <v>120.7</v>
      </c>
      <c r="M301" s="10" t="s">
        <v>161</v>
      </c>
    </row>
    <row r="302" spans="1:13" hidden="1">
      <c r="A302" t="s">
        <v>30</v>
      </c>
      <c r="B302">
        <v>2014</v>
      </c>
      <c r="C302" t="s">
        <v>42</v>
      </c>
      <c r="D302" s="3">
        <v>1583.2</v>
      </c>
      <c r="E302" s="3">
        <v>119.5</v>
      </c>
      <c r="F302" s="3">
        <v>362.2</v>
      </c>
      <c r="G302" s="3">
        <v>114.6</v>
      </c>
      <c r="H302" s="3">
        <v>115.8</v>
      </c>
      <c r="I302" s="3">
        <v>114.5</v>
      </c>
      <c r="J302" s="3">
        <v>116.6</v>
      </c>
      <c r="K302" s="3">
        <v>564.90000000000009</v>
      </c>
      <c r="L302" s="3">
        <v>120.9</v>
      </c>
      <c r="M302" s="10" t="s">
        <v>162</v>
      </c>
    </row>
    <row r="303" spans="1:13" hidden="1">
      <c r="A303" t="s">
        <v>33</v>
      </c>
      <c r="B303">
        <v>2014</v>
      </c>
      <c r="C303" t="s">
        <v>42</v>
      </c>
      <c r="D303" s="3">
        <v>1593.7000000000003</v>
      </c>
      <c r="E303" s="3">
        <v>124.3</v>
      </c>
      <c r="F303" s="3">
        <v>352.1</v>
      </c>
      <c r="G303" s="3">
        <v>116.1</v>
      </c>
      <c r="H303" s="3">
        <v>111.8</v>
      </c>
      <c r="I303" s="3">
        <v>112.3</v>
      </c>
      <c r="J303" s="3">
        <v>120</v>
      </c>
      <c r="K303" s="3">
        <v>563.70000000000005</v>
      </c>
      <c r="L303" s="3">
        <v>119.2</v>
      </c>
      <c r="M303" s="10" t="s">
        <v>162</v>
      </c>
    </row>
    <row r="304" spans="1:13" hidden="1">
      <c r="A304" t="s">
        <v>34</v>
      </c>
      <c r="B304">
        <v>2014</v>
      </c>
      <c r="C304" t="s">
        <v>42</v>
      </c>
      <c r="D304" s="3">
        <v>1586.0999999999997</v>
      </c>
      <c r="E304" s="3">
        <v>120.8</v>
      </c>
      <c r="F304" s="3">
        <v>358</v>
      </c>
      <c r="G304" s="3">
        <v>116.1</v>
      </c>
      <c r="H304" s="3">
        <v>114.3</v>
      </c>
      <c r="I304" s="3">
        <v>113.7</v>
      </c>
      <c r="J304" s="3">
        <v>118.6</v>
      </c>
      <c r="K304" s="3">
        <v>564.4</v>
      </c>
      <c r="L304" s="3">
        <v>120.1</v>
      </c>
      <c r="M304" s="10" t="s">
        <v>162</v>
      </c>
    </row>
    <row r="305" spans="1:13" hidden="1">
      <c r="A305" t="s">
        <v>30</v>
      </c>
      <c r="B305">
        <v>2014</v>
      </c>
      <c r="C305" t="s">
        <v>43</v>
      </c>
      <c r="D305" s="3">
        <v>1581.1999999999998</v>
      </c>
      <c r="E305" s="3">
        <v>120</v>
      </c>
      <c r="F305" s="3">
        <v>365.3</v>
      </c>
      <c r="G305" s="3">
        <v>114.6</v>
      </c>
      <c r="H305" s="3">
        <v>116.4</v>
      </c>
      <c r="I305" s="3">
        <v>115.3</v>
      </c>
      <c r="J305" s="3">
        <v>116.9</v>
      </c>
      <c r="K305" s="3">
        <v>566.40000000000009</v>
      </c>
      <c r="L305" s="3">
        <v>121</v>
      </c>
      <c r="M305" s="10" t="s">
        <v>163</v>
      </c>
    </row>
    <row r="306" spans="1:13" hidden="1">
      <c r="A306" t="s">
        <v>33</v>
      </c>
      <c r="B306">
        <v>2014</v>
      </c>
      <c r="C306" t="s">
        <v>43</v>
      </c>
      <c r="D306" s="3">
        <v>1587.5</v>
      </c>
      <c r="E306" s="3">
        <v>124.3</v>
      </c>
      <c r="F306" s="3">
        <v>353.4</v>
      </c>
      <c r="G306" s="3">
        <v>116.7</v>
      </c>
      <c r="H306" s="3">
        <v>112</v>
      </c>
      <c r="I306" s="3">
        <v>112.6</v>
      </c>
      <c r="J306" s="3">
        <v>120.2</v>
      </c>
      <c r="K306" s="3">
        <v>564.20000000000005</v>
      </c>
      <c r="L306" s="3">
        <v>119.1</v>
      </c>
      <c r="M306" s="10" t="s">
        <v>163</v>
      </c>
    </row>
    <row r="307" spans="1:13" hidden="1">
      <c r="A307" t="s">
        <v>34</v>
      </c>
      <c r="B307">
        <v>2014</v>
      </c>
      <c r="C307" t="s">
        <v>43</v>
      </c>
      <c r="D307" s="3">
        <v>1582.7</v>
      </c>
      <c r="E307" s="3">
        <v>121.1</v>
      </c>
      <c r="F307" s="3">
        <v>360.6</v>
      </c>
      <c r="G307" s="3">
        <v>116.7</v>
      </c>
      <c r="H307" s="3">
        <v>114.7</v>
      </c>
      <c r="I307" s="3">
        <v>114.3</v>
      </c>
      <c r="J307" s="3">
        <v>118.8</v>
      </c>
      <c r="K307" s="3">
        <v>565.29999999999995</v>
      </c>
      <c r="L307" s="3">
        <v>120.1</v>
      </c>
      <c r="M307" s="10" t="s">
        <v>163</v>
      </c>
    </row>
    <row r="308" spans="1:13" hidden="1">
      <c r="A308" t="s">
        <v>30</v>
      </c>
      <c r="B308">
        <v>2014</v>
      </c>
      <c r="C308" t="s">
        <v>45</v>
      </c>
      <c r="D308" s="3">
        <v>1582</v>
      </c>
      <c r="E308" s="3">
        <v>120.8</v>
      </c>
      <c r="F308" s="3">
        <v>366.70000000000005</v>
      </c>
      <c r="G308" s="3">
        <v>114.6</v>
      </c>
      <c r="H308" s="3">
        <v>117.3</v>
      </c>
      <c r="I308" s="3">
        <v>115.9</v>
      </c>
      <c r="J308" s="3">
        <v>117.2</v>
      </c>
      <c r="K308" s="3">
        <v>566.29999999999995</v>
      </c>
      <c r="L308" s="3">
        <v>121.1</v>
      </c>
      <c r="M308" s="10" t="s">
        <v>164</v>
      </c>
    </row>
    <row r="309" spans="1:13" hidden="1">
      <c r="A309" t="s">
        <v>33</v>
      </c>
      <c r="B309">
        <v>2014</v>
      </c>
      <c r="C309" t="s">
        <v>45</v>
      </c>
      <c r="D309" s="3">
        <v>1587.8</v>
      </c>
      <c r="E309" s="3">
        <v>125.8</v>
      </c>
      <c r="F309" s="3">
        <v>355.2</v>
      </c>
      <c r="G309" s="3">
        <v>117.1</v>
      </c>
      <c r="H309" s="3">
        <v>112.6</v>
      </c>
      <c r="I309" s="3">
        <v>113</v>
      </c>
      <c r="J309" s="3">
        <v>120.3</v>
      </c>
      <c r="K309" s="3">
        <v>563.1</v>
      </c>
      <c r="L309" s="3">
        <v>119</v>
      </c>
      <c r="M309" s="10" t="s">
        <v>164</v>
      </c>
    </row>
    <row r="310" spans="1:13" hidden="1">
      <c r="A310" t="s">
        <v>34</v>
      </c>
      <c r="B310">
        <v>2014</v>
      </c>
      <c r="C310" t="s">
        <v>45</v>
      </c>
      <c r="D310" s="3">
        <v>1583.2</v>
      </c>
      <c r="E310" s="3">
        <v>122.1</v>
      </c>
      <c r="F310" s="3">
        <v>362.1</v>
      </c>
      <c r="G310" s="3">
        <v>117.1</v>
      </c>
      <c r="H310" s="3">
        <v>115.5</v>
      </c>
      <c r="I310" s="3">
        <v>114.8</v>
      </c>
      <c r="J310" s="3">
        <v>119</v>
      </c>
      <c r="K310" s="3">
        <v>564.69999999999993</v>
      </c>
      <c r="L310" s="3">
        <v>120.1</v>
      </c>
      <c r="M310" s="10" t="s">
        <v>164</v>
      </c>
    </row>
    <row r="311" spans="1:13" hidden="1">
      <c r="A311" t="s">
        <v>30</v>
      </c>
      <c r="B311">
        <v>2014</v>
      </c>
      <c r="C311" t="s">
        <v>38</v>
      </c>
      <c r="D311" s="3">
        <v>1513.8999999999999</v>
      </c>
      <c r="E311" s="3">
        <v>116.3</v>
      </c>
      <c r="F311" s="3">
        <v>354</v>
      </c>
      <c r="G311" s="3">
        <v>114.6</v>
      </c>
      <c r="H311" s="3">
        <v>113.4</v>
      </c>
      <c r="I311" s="3">
        <v>112.1</v>
      </c>
      <c r="J311" s="3">
        <v>113.1</v>
      </c>
      <c r="K311" s="3">
        <v>557.09999999999991</v>
      </c>
      <c r="L311" s="3">
        <v>116</v>
      </c>
      <c r="M311" s="10" t="s">
        <v>165</v>
      </c>
    </row>
    <row r="312" spans="1:13" hidden="1">
      <c r="A312" t="s">
        <v>33</v>
      </c>
      <c r="B312">
        <v>2014</v>
      </c>
      <c r="C312" t="s">
        <v>38</v>
      </c>
      <c r="D312" s="3">
        <v>1525.3000000000002</v>
      </c>
      <c r="E312" s="3">
        <v>118.3</v>
      </c>
      <c r="F312" s="3">
        <v>345.9</v>
      </c>
      <c r="G312" s="3">
        <v>114.3</v>
      </c>
      <c r="H312" s="3">
        <v>111.1</v>
      </c>
      <c r="I312" s="3">
        <v>111.2</v>
      </c>
      <c r="J312" s="3">
        <v>112.9</v>
      </c>
      <c r="K312" s="3">
        <v>557.9</v>
      </c>
      <c r="L312" s="3">
        <v>115.6</v>
      </c>
      <c r="M312" s="10" t="s">
        <v>165</v>
      </c>
    </row>
    <row r="313" spans="1:13" hidden="1">
      <c r="A313" t="s">
        <v>34</v>
      </c>
      <c r="B313">
        <v>2014</v>
      </c>
      <c r="C313" t="s">
        <v>38</v>
      </c>
      <c r="D313" s="3">
        <v>1518.5000000000005</v>
      </c>
      <c r="E313" s="3">
        <v>116.8</v>
      </c>
      <c r="F313" s="3">
        <v>350.79999999999995</v>
      </c>
      <c r="G313" s="3">
        <v>114.3</v>
      </c>
      <c r="H313" s="3">
        <v>112.5</v>
      </c>
      <c r="I313" s="3">
        <v>111.8</v>
      </c>
      <c r="J313" s="3">
        <v>113</v>
      </c>
      <c r="K313" s="3">
        <v>557.49999999999989</v>
      </c>
      <c r="L313" s="3">
        <v>115.8</v>
      </c>
      <c r="M313" s="10" t="s">
        <v>165</v>
      </c>
    </row>
    <row r="314" spans="1:13" hidden="1">
      <c r="A314" t="s">
        <v>34</v>
      </c>
      <c r="B314">
        <v>2014</v>
      </c>
      <c r="C314" t="s">
        <v>47</v>
      </c>
      <c r="D314" s="3">
        <v>1488.2999999999997</v>
      </c>
      <c r="E314" s="3">
        <v>115.2</v>
      </c>
      <c r="F314" s="3">
        <v>346.9</v>
      </c>
      <c r="G314" s="3">
        <v>113.2</v>
      </c>
      <c r="H314" s="3">
        <v>112.5</v>
      </c>
      <c r="I314" s="3">
        <v>111.2</v>
      </c>
      <c r="J314" s="3">
        <v>112</v>
      </c>
      <c r="K314" s="3">
        <v>555.5</v>
      </c>
      <c r="L314" s="3">
        <v>114.2</v>
      </c>
      <c r="M314" s="10" t="s">
        <v>166</v>
      </c>
    </row>
    <row r="315" spans="1:13" hidden="1">
      <c r="A315" t="s">
        <v>30</v>
      </c>
      <c r="B315">
        <v>2014</v>
      </c>
      <c r="C315" t="s">
        <v>36</v>
      </c>
      <c r="D315" s="3">
        <v>1491.4</v>
      </c>
      <c r="E315" s="3">
        <v>114.6</v>
      </c>
      <c r="F315" s="3">
        <v>349.6</v>
      </c>
      <c r="G315" s="3">
        <v>114.6</v>
      </c>
      <c r="H315" s="3">
        <v>113.4</v>
      </c>
      <c r="I315" s="3">
        <v>111.4</v>
      </c>
      <c r="J315" s="3">
        <v>112.4</v>
      </c>
      <c r="K315" s="3">
        <v>555</v>
      </c>
      <c r="L315" s="3">
        <v>114.6</v>
      </c>
      <c r="M315" s="10" t="s">
        <v>167</v>
      </c>
    </row>
    <row r="316" spans="1:13" hidden="1">
      <c r="A316" t="s">
        <v>33</v>
      </c>
      <c r="B316">
        <v>2014</v>
      </c>
      <c r="C316" t="s">
        <v>36</v>
      </c>
      <c r="D316" s="3">
        <v>1483</v>
      </c>
      <c r="E316" s="3">
        <v>116.7</v>
      </c>
      <c r="F316" s="3">
        <v>343.09999999999997</v>
      </c>
      <c r="G316" s="3">
        <v>113.2</v>
      </c>
      <c r="H316" s="3">
        <v>110.9</v>
      </c>
      <c r="I316" s="3">
        <v>110.8</v>
      </c>
      <c r="J316" s="3">
        <v>111.8</v>
      </c>
      <c r="K316" s="3">
        <v>556.1</v>
      </c>
      <c r="L316" s="3">
        <v>113.7</v>
      </c>
      <c r="M316" s="10" t="s">
        <v>167</v>
      </c>
    </row>
    <row r="317" spans="1:13" hidden="1">
      <c r="A317" t="s">
        <v>30</v>
      </c>
      <c r="B317">
        <v>2014</v>
      </c>
      <c r="C317" t="s">
        <v>39</v>
      </c>
      <c r="D317" s="3">
        <v>1525.6999999999998</v>
      </c>
      <c r="E317" s="3">
        <v>117.3</v>
      </c>
      <c r="F317" s="3">
        <v>356.3</v>
      </c>
      <c r="G317" s="3">
        <v>114.6</v>
      </c>
      <c r="H317" s="3">
        <v>114.4</v>
      </c>
      <c r="I317" s="3">
        <v>112.8</v>
      </c>
      <c r="J317" s="3">
        <v>114.3</v>
      </c>
      <c r="K317" s="3">
        <v>558.79999999999995</v>
      </c>
      <c r="L317" s="3">
        <v>117</v>
      </c>
      <c r="M317" s="10" t="s">
        <v>168</v>
      </c>
    </row>
    <row r="318" spans="1:13" hidden="1">
      <c r="A318" t="s">
        <v>33</v>
      </c>
      <c r="B318">
        <v>2014</v>
      </c>
      <c r="C318" t="s">
        <v>39</v>
      </c>
      <c r="D318" s="3">
        <v>1547</v>
      </c>
      <c r="E318" s="3">
        <v>119</v>
      </c>
      <c r="F318" s="3">
        <v>347.3</v>
      </c>
      <c r="G318" s="3">
        <v>113.9</v>
      </c>
      <c r="H318" s="3">
        <v>111.2</v>
      </c>
      <c r="I318" s="3">
        <v>111.4</v>
      </c>
      <c r="J318" s="3">
        <v>115.1</v>
      </c>
      <c r="K318" s="3">
        <v>558.5</v>
      </c>
      <c r="L318" s="3">
        <v>116.4</v>
      </c>
      <c r="M318" s="10" t="s">
        <v>168</v>
      </c>
    </row>
    <row r="319" spans="1:13" hidden="1">
      <c r="A319" t="s">
        <v>34</v>
      </c>
      <c r="B319">
        <v>2014</v>
      </c>
      <c r="C319" t="s">
        <v>39</v>
      </c>
      <c r="D319" s="3">
        <v>1533.7000000000003</v>
      </c>
      <c r="E319" s="3">
        <v>117.8</v>
      </c>
      <c r="F319" s="3">
        <v>352.7</v>
      </c>
      <c r="G319" s="3">
        <v>113.9</v>
      </c>
      <c r="H319" s="3">
        <v>113.2</v>
      </c>
      <c r="I319" s="3">
        <v>112.3</v>
      </c>
      <c r="J319" s="3">
        <v>114.8</v>
      </c>
      <c r="K319" s="3">
        <v>558.6</v>
      </c>
      <c r="L319" s="3">
        <v>116.7</v>
      </c>
      <c r="M319" s="10" t="s">
        <v>168</v>
      </c>
    </row>
    <row r="320" spans="1:13" hidden="1">
      <c r="A320" t="s">
        <v>30</v>
      </c>
      <c r="B320">
        <v>2014</v>
      </c>
      <c r="C320" t="s">
        <v>40</v>
      </c>
      <c r="D320" s="3">
        <v>1563.2</v>
      </c>
      <c r="E320" s="3">
        <v>118</v>
      </c>
      <c r="F320" s="3">
        <v>359.3</v>
      </c>
      <c r="G320" s="3">
        <v>114.6</v>
      </c>
      <c r="H320" s="3">
        <v>115.3</v>
      </c>
      <c r="I320" s="3">
        <v>113.4</v>
      </c>
      <c r="J320" s="3">
        <v>115.5</v>
      </c>
      <c r="K320" s="3">
        <v>562.30000000000007</v>
      </c>
      <c r="L320" s="3">
        <v>119.5</v>
      </c>
      <c r="M320" s="10" t="s">
        <v>169</v>
      </c>
    </row>
    <row r="321" spans="1:13" hidden="1">
      <c r="A321" t="s">
        <v>33</v>
      </c>
      <c r="B321">
        <v>2014</v>
      </c>
      <c r="C321" t="s">
        <v>40</v>
      </c>
      <c r="D321" s="3">
        <v>1599.5</v>
      </c>
      <c r="E321" s="3">
        <v>121</v>
      </c>
      <c r="F321" s="3">
        <v>349</v>
      </c>
      <c r="G321" s="3">
        <v>114.8</v>
      </c>
      <c r="H321" s="3">
        <v>111.6</v>
      </c>
      <c r="I321" s="3">
        <v>111.5</v>
      </c>
      <c r="J321" s="3">
        <v>117.8</v>
      </c>
      <c r="K321" s="3">
        <v>563.5</v>
      </c>
      <c r="L321" s="3">
        <v>118.9</v>
      </c>
      <c r="M321" s="10" t="s">
        <v>169</v>
      </c>
    </row>
    <row r="322" spans="1:13" hidden="1">
      <c r="A322" t="s">
        <v>34</v>
      </c>
      <c r="B322">
        <v>2014</v>
      </c>
      <c r="C322" t="s">
        <v>40</v>
      </c>
      <c r="D322" s="3">
        <v>1576.3</v>
      </c>
      <c r="E322" s="3">
        <v>118.8</v>
      </c>
      <c r="F322" s="3">
        <v>355</v>
      </c>
      <c r="G322" s="3">
        <v>114.8</v>
      </c>
      <c r="H322" s="3">
        <v>113.9</v>
      </c>
      <c r="I322" s="3">
        <v>112.7</v>
      </c>
      <c r="J322" s="3">
        <v>116.8</v>
      </c>
      <c r="K322" s="3">
        <v>562.9</v>
      </c>
      <c r="L322" s="3">
        <v>119.2</v>
      </c>
      <c r="M322" s="10" t="s">
        <v>169</v>
      </c>
    </row>
    <row r="323" spans="1:13" hidden="1">
      <c r="A323" t="s">
        <v>30</v>
      </c>
      <c r="B323">
        <v>2014</v>
      </c>
      <c r="C323" t="s">
        <v>31</v>
      </c>
      <c r="D323" s="3">
        <v>1486.6000000000001</v>
      </c>
      <c r="E323" s="3">
        <v>114</v>
      </c>
      <c r="F323" s="3">
        <v>347.2</v>
      </c>
      <c r="G323" s="3">
        <v>114.6</v>
      </c>
      <c r="H323" s="3">
        <v>113</v>
      </c>
      <c r="I323" s="3">
        <v>110.6</v>
      </c>
      <c r="J323" s="3">
        <v>111.8</v>
      </c>
      <c r="K323" s="3">
        <v>551.6</v>
      </c>
      <c r="L323" s="3">
        <v>114.2</v>
      </c>
      <c r="M323" s="10" t="s">
        <v>170</v>
      </c>
    </row>
    <row r="324" spans="1:13" hidden="1">
      <c r="A324" t="s">
        <v>33</v>
      </c>
      <c r="B324">
        <v>2014</v>
      </c>
      <c r="C324" t="s">
        <v>31</v>
      </c>
      <c r="D324" s="3">
        <v>1484.3</v>
      </c>
      <c r="E324" s="3">
        <v>115.7</v>
      </c>
      <c r="F324" s="3">
        <v>340.4</v>
      </c>
      <c r="G324" s="3">
        <v>111.6</v>
      </c>
      <c r="H324" s="3">
        <v>111</v>
      </c>
      <c r="I324" s="3">
        <v>109.7</v>
      </c>
      <c r="J324" s="3">
        <v>111.5</v>
      </c>
      <c r="K324" s="3">
        <v>551</v>
      </c>
      <c r="L324" s="3">
        <v>112.9</v>
      </c>
      <c r="M324" s="10" t="s">
        <v>170</v>
      </c>
    </row>
    <row r="325" spans="1:13" hidden="1">
      <c r="A325" t="s">
        <v>34</v>
      </c>
      <c r="B325">
        <v>2014</v>
      </c>
      <c r="C325" t="s">
        <v>31</v>
      </c>
      <c r="D325" s="3">
        <v>1485.7999999999997</v>
      </c>
      <c r="E325" s="3">
        <v>114.5</v>
      </c>
      <c r="F325" s="3">
        <v>344.4</v>
      </c>
      <c r="G325" s="3">
        <v>111.6</v>
      </c>
      <c r="H325" s="3">
        <v>112.2</v>
      </c>
      <c r="I325" s="3">
        <v>110.3</v>
      </c>
      <c r="J325" s="3">
        <v>111.6</v>
      </c>
      <c r="K325" s="3">
        <v>551.5</v>
      </c>
      <c r="L325" s="3">
        <v>113.6</v>
      </c>
      <c r="M325" s="10" t="s">
        <v>170</v>
      </c>
    </row>
    <row r="326" spans="1:13" hidden="1">
      <c r="A326" t="s">
        <v>30</v>
      </c>
      <c r="B326">
        <v>2014</v>
      </c>
      <c r="C326" t="s">
        <v>35</v>
      </c>
      <c r="D326" s="3">
        <v>1482.2</v>
      </c>
      <c r="E326" s="3">
        <v>114.2</v>
      </c>
      <c r="F326" s="3">
        <v>348.3</v>
      </c>
      <c r="G326" s="3">
        <v>114.6</v>
      </c>
      <c r="H326" s="3">
        <v>113.2</v>
      </c>
      <c r="I326" s="3">
        <v>110.9</v>
      </c>
      <c r="J326" s="3">
        <v>112</v>
      </c>
      <c r="K326" s="3">
        <v>553.20000000000005</v>
      </c>
      <c r="L326" s="3">
        <v>114</v>
      </c>
      <c r="M326" s="10" t="s">
        <v>171</v>
      </c>
    </row>
    <row r="327" spans="1:13" hidden="1">
      <c r="A327" t="s">
        <v>33</v>
      </c>
      <c r="B327">
        <v>2014</v>
      </c>
      <c r="C327" t="s">
        <v>35</v>
      </c>
      <c r="D327" s="3">
        <v>1476</v>
      </c>
      <c r="E327" s="3">
        <v>116.2</v>
      </c>
      <c r="F327" s="3">
        <v>341.7</v>
      </c>
      <c r="G327" s="3">
        <v>112.5</v>
      </c>
      <c r="H327" s="3">
        <v>111.1</v>
      </c>
      <c r="I327" s="3">
        <v>110.4</v>
      </c>
      <c r="J327" s="3">
        <v>111.6</v>
      </c>
      <c r="K327" s="3">
        <v>553.9</v>
      </c>
      <c r="L327" s="3">
        <v>113.1</v>
      </c>
      <c r="M327" s="10" t="s">
        <v>171</v>
      </c>
    </row>
    <row r="328" spans="1:13" hidden="1">
      <c r="A328" t="s">
        <v>34</v>
      </c>
      <c r="B328">
        <v>2014</v>
      </c>
      <c r="C328" t="s">
        <v>35</v>
      </c>
      <c r="D328" s="3">
        <v>1480.1</v>
      </c>
      <c r="E328" s="3">
        <v>114.7</v>
      </c>
      <c r="F328" s="3">
        <v>345.6</v>
      </c>
      <c r="G328" s="3">
        <v>112.5</v>
      </c>
      <c r="H328" s="3">
        <v>112.4</v>
      </c>
      <c r="I328" s="3">
        <v>110.7</v>
      </c>
      <c r="J328" s="3">
        <v>111.8</v>
      </c>
      <c r="K328" s="3">
        <v>553.6</v>
      </c>
      <c r="L328" s="3">
        <v>113.6</v>
      </c>
      <c r="M328" s="10" t="s">
        <v>171</v>
      </c>
    </row>
    <row r="329" spans="1:13" hidden="1">
      <c r="A329" t="s">
        <v>30</v>
      </c>
      <c r="B329">
        <v>2014</v>
      </c>
      <c r="C329" t="s">
        <v>46</v>
      </c>
      <c r="D329" s="3">
        <v>1569.6</v>
      </c>
      <c r="E329" s="3">
        <v>121.7</v>
      </c>
      <c r="F329" s="3">
        <v>367.7</v>
      </c>
      <c r="G329" s="3">
        <v>114.6</v>
      </c>
      <c r="H329" s="3">
        <v>117.4</v>
      </c>
      <c r="I329" s="3">
        <v>116.2</v>
      </c>
      <c r="J329" s="3">
        <v>117.7</v>
      </c>
      <c r="K329" s="3">
        <v>566.6</v>
      </c>
      <c r="L329" s="3">
        <v>120.3</v>
      </c>
      <c r="M329" s="10" t="s">
        <v>172</v>
      </c>
    </row>
    <row r="330" spans="1:13" hidden="1">
      <c r="A330" t="s">
        <v>33</v>
      </c>
      <c r="B330">
        <v>2014</v>
      </c>
      <c r="C330" t="s">
        <v>46</v>
      </c>
      <c r="D330" s="3">
        <v>1577.1999999999998</v>
      </c>
      <c r="E330" s="3">
        <v>126.4</v>
      </c>
      <c r="F330" s="3">
        <v>356.5</v>
      </c>
      <c r="G330" s="3">
        <v>116.5</v>
      </c>
      <c r="H330" s="3">
        <v>113</v>
      </c>
      <c r="I330" s="3">
        <v>113.2</v>
      </c>
      <c r="J330" s="3">
        <v>120.7</v>
      </c>
      <c r="K330" s="3">
        <v>563.69999999999993</v>
      </c>
      <c r="L330" s="3">
        <v>118.4</v>
      </c>
      <c r="M330" s="10" t="s">
        <v>172</v>
      </c>
    </row>
    <row r="331" spans="1:13" hidden="1">
      <c r="A331" t="s">
        <v>34</v>
      </c>
      <c r="B331">
        <v>2014</v>
      </c>
      <c r="C331" t="s">
        <v>46</v>
      </c>
      <c r="D331" s="3">
        <v>1571.6999999999998</v>
      </c>
      <c r="E331" s="3">
        <v>123</v>
      </c>
      <c r="F331" s="3">
        <v>363.2</v>
      </c>
      <c r="G331" s="3">
        <v>116.5</v>
      </c>
      <c r="H331" s="3">
        <v>115.7</v>
      </c>
      <c r="I331" s="3">
        <v>115.1</v>
      </c>
      <c r="J331" s="3">
        <v>119.5</v>
      </c>
      <c r="K331" s="3">
        <v>565.1</v>
      </c>
      <c r="L331" s="3">
        <v>119.4</v>
      </c>
      <c r="M331" s="10" t="s">
        <v>172</v>
      </c>
    </row>
    <row r="332" spans="1:13" hidden="1">
      <c r="A332" t="s">
        <v>30</v>
      </c>
      <c r="B332">
        <v>2014</v>
      </c>
      <c r="C332" t="s">
        <v>41</v>
      </c>
      <c r="D332" s="3">
        <v>1582.2999999999997</v>
      </c>
      <c r="E332" s="3">
        <v>118.8</v>
      </c>
      <c r="F332" s="3">
        <v>360.4</v>
      </c>
      <c r="G332" s="3">
        <v>114.6</v>
      </c>
      <c r="H332" s="3">
        <v>115.4</v>
      </c>
      <c r="I332" s="3">
        <v>114</v>
      </c>
      <c r="J332" s="3">
        <v>116.2</v>
      </c>
      <c r="K332" s="3">
        <v>564.20000000000005</v>
      </c>
      <c r="L332" s="3">
        <v>120.7</v>
      </c>
      <c r="M332" s="10" t="s">
        <v>173</v>
      </c>
    </row>
    <row r="333" spans="1:13" hidden="1">
      <c r="A333" t="s">
        <v>33</v>
      </c>
      <c r="B333">
        <v>2014</v>
      </c>
      <c r="C333" t="s">
        <v>41</v>
      </c>
      <c r="D333" s="3">
        <v>1617</v>
      </c>
      <c r="E333" s="3">
        <v>123</v>
      </c>
      <c r="F333" s="3">
        <v>350.6</v>
      </c>
      <c r="G333" s="3">
        <v>115.5</v>
      </c>
      <c r="H333" s="3">
        <v>111.8</v>
      </c>
      <c r="I333" s="3">
        <v>112.2</v>
      </c>
      <c r="J333" s="3">
        <v>119.2</v>
      </c>
      <c r="K333" s="3">
        <v>565.1</v>
      </c>
      <c r="L333" s="3">
        <v>119.9</v>
      </c>
      <c r="M333" s="10" t="s">
        <v>173</v>
      </c>
    </row>
    <row r="334" spans="1:13" hidden="1">
      <c r="A334" t="s">
        <v>34</v>
      </c>
      <c r="B334">
        <v>2014</v>
      </c>
      <c r="C334" t="s">
        <v>41</v>
      </c>
      <c r="D334" s="3">
        <v>1594.4999999999998</v>
      </c>
      <c r="E334" s="3">
        <v>119.9</v>
      </c>
      <c r="F334" s="3">
        <v>356.4</v>
      </c>
      <c r="G334" s="3">
        <v>115.5</v>
      </c>
      <c r="H334" s="3">
        <v>114</v>
      </c>
      <c r="I334" s="3">
        <v>113.3</v>
      </c>
      <c r="J334" s="3">
        <v>118</v>
      </c>
      <c r="K334" s="3">
        <v>564.6</v>
      </c>
      <c r="L334" s="3">
        <v>120.3</v>
      </c>
      <c r="M334" s="10" t="s">
        <v>173</v>
      </c>
    </row>
    <row r="335" spans="1:13" hidden="1">
      <c r="A335" t="s">
        <v>30</v>
      </c>
      <c r="B335">
        <v>2014</v>
      </c>
      <c r="C335" t="s">
        <v>37</v>
      </c>
      <c r="D335" s="3">
        <v>1504.1000000000001</v>
      </c>
      <c r="E335" s="3">
        <v>115.4</v>
      </c>
      <c r="F335" s="3">
        <v>352</v>
      </c>
      <c r="G335" s="3">
        <v>114.6</v>
      </c>
      <c r="H335" s="3">
        <v>113.4</v>
      </c>
      <c r="I335" s="3">
        <v>111.8</v>
      </c>
      <c r="J335" s="3">
        <v>113</v>
      </c>
      <c r="K335" s="3">
        <v>555.79999999999995</v>
      </c>
      <c r="L335" s="3">
        <v>115.4</v>
      </c>
      <c r="M335" s="10" t="s">
        <v>174</v>
      </c>
    </row>
    <row r="336" spans="1:13" hidden="1">
      <c r="A336" t="s">
        <v>33</v>
      </c>
      <c r="B336">
        <v>2014</v>
      </c>
      <c r="C336" t="s">
        <v>37</v>
      </c>
      <c r="D336" s="3">
        <v>1504.0000000000002</v>
      </c>
      <c r="E336" s="3">
        <v>117.6</v>
      </c>
      <c r="F336" s="3">
        <v>344.5</v>
      </c>
      <c r="G336" s="3">
        <v>113.9</v>
      </c>
      <c r="H336" s="3">
        <v>110.9</v>
      </c>
      <c r="I336" s="3">
        <v>111</v>
      </c>
      <c r="J336" s="3">
        <v>112.5</v>
      </c>
      <c r="K336" s="3">
        <v>556.29999999999995</v>
      </c>
      <c r="L336" s="3">
        <v>114.7</v>
      </c>
      <c r="M336" s="10" t="s">
        <v>174</v>
      </c>
    </row>
    <row r="337" spans="1:13" hidden="1">
      <c r="A337" t="s">
        <v>34</v>
      </c>
      <c r="B337">
        <v>2014</v>
      </c>
      <c r="C337" t="s">
        <v>37</v>
      </c>
      <c r="D337" s="3">
        <v>1504.1</v>
      </c>
      <c r="E337" s="3">
        <v>116</v>
      </c>
      <c r="F337" s="3">
        <v>349</v>
      </c>
      <c r="G337" s="3">
        <v>113.9</v>
      </c>
      <c r="H337" s="3">
        <v>112.5</v>
      </c>
      <c r="I337" s="3">
        <v>111.5</v>
      </c>
      <c r="J337" s="3">
        <v>112.7</v>
      </c>
      <c r="K337" s="3">
        <v>556.20000000000005</v>
      </c>
      <c r="L337" s="3">
        <v>115.1</v>
      </c>
      <c r="M337" s="10" t="s">
        <v>174</v>
      </c>
    </row>
    <row r="338" spans="1:13" hidden="1">
      <c r="A338" t="s">
        <v>30</v>
      </c>
      <c r="B338">
        <v>2013</v>
      </c>
      <c r="C338" t="s">
        <v>42</v>
      </c>
      <c r="D338" s="3">
        <v>1488.5000000000002</v>
      </c>
      <c r="E338" s="3">
        <v>111.7</v>
      </c>
      <c r="F338" s="3">
        <v>336.6</v>
      </c>
      <c r="G338" s="3">
        <v>105.6</v>
      </c>
      <c r="H338" s="3">
        <v>111.1</v>
      </c>
      <c r="I338" s="3">
        <v>108.3</v>
      </c>
      <c r="J338" s="3">
        <v>109.8</v>
      </c>
      <c r="K338" s="3">
        <v>542</v>
      </c>
      <c r="L338" s="3">
        <v>114.2</v>
      </c>
      <c r="M338" s="10" t="s">
        <v>175</v>
      </c>
    </row>
    <row r="339" spans="1:13" hidden="1">
      <c r="A339" t="s">
        <v>33</v>
      </c>
      <c r="B339">
        <v>2013</v>
      </c>
      <c r="C339" t="s">
        <v>42</v>
      </c>
      <c r="D339" s="3">
        <v>1500.4</v>
      </c>
      <c r="E339" s="3">
        <v>112.9</v>
      </c>
      <c r="F339" s="3">
        <v>331.5</v>
      </c>
      <c r="G339" s="3">
        <v>109.7</v>
      </c>
      <c r="H339" s="3">
        <v>109.5</v>
      </c>
      <c r="I339" s="3">
        <v>107.9</v>
      </c>
      <c r="J339" s="3">
        <v>111.2</v>
      </c>
      <c r="K339" s="3">
        <v>543.69999999999993</v>
      </c>
      <c r="L339" s="3">
        <v>113.2</v>
      </c>
      <c r="M339" s="10" t="s">
        <v>175</v>
      </c>
    </row>
    <row r="340" spans="1:13" hidden="1">
      <c r="A340" t="s">
        <v>34</v>
      </c>
      <c r="B340">
        <v>2013</v>
      </c>
      <c r="C340" t="s">
        <v>42</v>
      </c>
      <c r="D340" s="3">
        <v>1491.6999999999998</v>
      </c>
      <c r="E340" s="3">
        <v>112</v>
      </c>
      <c r="F340" s="3">
        <v>334.5</v>
      </c>
      <c r="G340" s="3">
        <v>109.7</v>
      </c>
      <c r="H340" s="3">
        <v>110.5</v>
      </c>
      <c r="I340" s="3">
        <v>108.1</v>
      </c>
      <c r="J340" s="3">
        <v>110.6</v>
      </c>
      <c r="K340" s="3">
        <v>542.79999999999995</v>
      </c>
      <c r="L340" s="3">
        <v>113.7</v>
      </c>
      <c r="M340" s="10" t="s">
        <v>175</v>
      </c>
    </row>
    <row r="341" spans="1:13" hidden="1">
      <c r="A341" t="s">
        <v>30</v>
      </c>
      <c r="B341">
        <v>2013</v>
      </c>
      <c r="C341" t="s">
        <v>43</v>
      </c>
      <c r="D341" s="3">
        <v>1508</v>
      </c>
      <c r="E341" s="3">
        <v>112.2</v>
      </c>
      <c r="F341" s="3">
        <v>339.29999999999995</v>
      </c>
      <c r="G341" s="3">
        <v>105.6</v>
      </c>
      <c r="H341" s="3">
        <v>111.6</v>
      </c>
      <c r="I341" s="3">
        <v>108.9</v>
      </c>
      <c r="J341" s="3">
        <v>110.2</v>
      </c>
      <c r="K341" s="3">
        <v>544.6</v>
      </c>
      <c r="L341" s="3">
        <v>115.5</v>
      </c>
      <c r="M341" s="10" t="s">
        <v>176</v>
      </c>
    </row>
    <row r="342" spans="1:13" hidden="1">
      <c r="A342" t="s">
        <v>33</v>
      </c>
      <c r="B342">
        <v>2013</v>
      </c>
      <c r="C342" t="s">
        <v>43</v>
      </c>
      <c r="D342" s="3">
        <v>1517.1999999999998</v>
      </c>
      <c r="E342" s="3">
        <v>113.5</v>
      </c>
      <c r="F342" s="3">
        <v>334.2</v>
      </c>
      <c r="G342" s="3">
        <v>110.5</v>
      </c>
      <c r="H342" s="3">
        <v>109.7</v>
      </c>
      <c r="I342" s="3">
        <v>108.2</v>
      </c>
      <c r="J342" s="3">
        <v>111.3</v>
      </c>
      <c r="K342" s="3">
        <v>544.6</v>
      </c>
      <c r="L342" s="3">
        <v>114</v>
      </c>
      <c r="M342" s="10" t="s">
        <v>176</v>
      </c>
    </row>
    <row r="343" spans="1:13" hidden="1">
      <c r="A343" t="s">
        <v>34</v>
      </c>
      <c r="B343">
        <v>2013</v>
      </c>
      <c r="C343" t="s">
        <v>43</v>
      </c>
      <c r="D343" s="3">
        <v>1510.2000000000003</v>
      </c>
      <c r="E343" s="3">
        <v>112.5</v>
      </c>
      <c r="F343" s="3">
        <v>337.2</v>
      </c>
      <c r="G343" s="3">
        <v>110.5</v>
      </c>
      <c r="H343" s="3">
        <v>110.9</v>
      </c>
      <c r="I343" s="3">
        <v>108.6</v>
      </c>
      <c r="J343" s="3">
        <v>110.8</v>
      </c>
      <c r="K343" s="3">
        <v>544.5</v>
      </c>
      <c r="L343" s="3">
        <v>114.8</v>
      </c>
      <c r="M343" s="10" t="s">
        <v>176</v>
      </c>
    </row>
    <row r="344" spans="1:13" hidden="1">
      <c r="A344" t="s">
        <v>30</v>
      </c>
      <c r="B344">
        <v>2013</v>
      </c>
      <c r="C344" t="s">
        <v>44</v>
      </c>
      <c r="D344" s="3">
        <v>1536.8</v>
      </c>
      <c r="E344" s="3">
        <v>112.8</v>
      </c>
      <c r="F344" s="3">
        <v>342.1</v>
      </c>
      <c r="G344" s="3">
        <v>105.6</v>
      </c>
      <c r="H344" s="3">
        <v>112.6</v>
      </c>
      <c r="I344" s="3">
        <v>109.7</v>
      </c>
      <c r="J344" s="3">
        <v>111</v>
      </c>
      <c r="K344" s="3">
        <v>547.59999999999991</v>
      </c>
      <c r="L344" s="3">
        <v>117.4</v>
      </c>
      <c r="M344" s="10" t="s">
        <v>177</v>
      </c>
    </row>
    <row r="345" spans="1:13" hidden="1">
      <c r="A345" t="s">
        <v>33</v>
      </c>
      <c r="B345">
        <v>2013</v>
      </c>
      <c r="C345" t="s">
        <v>45</v>
      </c>
      <c r="D345" s="3">
        <v>1544.6</v>
      </c>
      <c r="E345" s="3">
        <v>114.1</v>
      </c>
      <c r="F345" s="3">
        <v>336.8</v>
      </c>
      <c r="G345" s="3">
        <v>111.1</v>
      </c>
      <c r="H345" s="3">
        <v>110</v>
      </c>
      <c r="I345" s="3">
        <v>108.6</v>
      </c>
      <c r="J345" s="3">
        <v>111.3</v>
      </c>
      <c r="K345" s="3">
        <v>546.4</v>
      </c>
      <c r="L345" s="3">
        <v>115</v>
      </c>
      <c r="M345" s="10" t="s">
        <v>178</v>
      </c>
    </row>
    <row r="346" spans="1:13" hidden="1">
      <c r="A346" t="s">
        <v>34</v>
      </c>
      <c r="B346">
        <v>2013</v>
      </c>
      <c r="C346" t="s">
        <v>45</v>
      </c>
      <c r="D346" s="3">
        <v>1538.8</v>
      </c>
      <c r="E346" s="3">
        <v>113.1</v>
      </c>
      <c r="F346" s="3">
        <v>339.90000000000003</v>
      </c>
      <c r="G346" s="3">
        <v>111.1</v>
      </c>
      <c r="H346" s="3">
        <v>111.6</v>
      </c>
      <c r="I346" s="3">
        <v>109.3</v>
      </c>
      <c r="J346" s="3">
        <v>111.2</v>
      </c>
      <c r="K346" s="3">
        <v>547</v>
      </c>
      <c r="L346" s="3">
        <v>116.3</v>
      </c>
      <c r="M346" s="10" t="s">
        <v>178</v>
      </c>
    </row>
    <row r="347" spans="1:13" hidden="1">
      <c r="A347" t="s">
        <v>30</v>
      </c>
      <c r="B347">
        <v>2013</v>
      </c>
      <c r="C347" t="s">
        <v>38</v>
      </c>
      <c r="D347" s="3">
        <v>1394</v>
      </c>
      <c r="E347" s="3">
        <v>108.1</v>
      </c>
      <c r="F347" s="3">
        <v>325.29999999999995</v>
      </c>
      <c r="G347" s="3">
        <v>105.6</v>
      </c>
      <c r="H347" s="3">
        <v>107.5</v>
      </c>
      <c r="I347" s="3">
        <v>105.7</v>
      </c>
      <c r="J347" s="3">
        <v>105.5</v>
      </c>
      <c r="K347" s="3">
        <v>522.79999999999995</v>
      </c>
      <c r="L347" s="3">
        <v>107.2</v>
      </c>
      <c r="M347" s="10" t="s">
        <v>179</v>
      </c>
    </row>
    <row r="348" spans="1:13" hidden="1">
      <c r="A348" t="s">
        <v>33</v>
      </c>
      <c r="B348">
        <v>2013</v>
      </c>
      <c r="C348" t="s">
        <v>38</v>
      </c>
      <c r="D348" s="3">
        <v>1417.1999999999998</v>
      </c>
      <c r="E348" s="3">
        <v>109.8</v>
      </c>
      <c r="F348" s="3">
        <v>323.5</v>
      </c>
      <c r="G348" s="3">
        <v>100.5</v>
      </c>
      <c r="H348" s="3">
        <v>107.2</v>
      </c>
      <c r="I348" s="3">
        <v>106.2</v>
      </c>
      <c r="J348" s="3">
        <v>105.7</v>
      </c>
      <c r="K348" s="3">
        <v>523.1</v>
      </c>
      <c r="L348" s="3">
        <v>106.6</v>
      </c>
      <c r="M348" s="10" t="s">
        <v>179</v>
      </c>
    </row>
    <row r="349" spans="1:13" hidden="1">
      <c r="A349" t="s">
        <v>34</v>
      </c>
      <c r="B349">
        <v>2013</v>
      </c>
      <c r="C349" t="s">
        <v>38</v>
      </c>
      <c r="D349" s="3">
        <v>1402.1999999999998</v>
      </c>
      <c r="E349" s="3">
        <v>108.6</v>
      </c>
      <c r="F349" s="3">
        <v>324.60000000000002</v>
      </c>
      <c r="G349" s="3">
        <v>100.5</v>
      </c>
      <c r="H349" s="3">
        <v>107.4</v>
      </c>
      <c r="I349" s="3">
        <v>105.9</v>
      </c>
      <c r="J349" s="3">
        <v>105.6</v>
      </c>
      <c r="K349" s="3">
        <v>522.79999999999995</v>
      </c>
      <c r="L349" s="3">
        <v>106.9</v>
      </c>
      <c r="M349" s="10" t="s">
        <v>179</v>
      </c>
    </row>
    <row r="350" spans="1:13" hidden="1">
      <c r="A350" t="s">
        <v>30</v>
      </c>
      <c r="B350">
        <v>2013</v>
      </c>
      <c r="C350" t="s">
        <v>36</v>
      </c>
      <c r="D350" s="3">
        <v>1382.2</v>
      </c>
      <c r="E350" s="3">
        <v>106.5</v>
      </c>
      <c r="F350" s="3">
        <v>321.89999999999998</v>
      </c>
      <c r="G350" s="3">
        <v>105.6</v>
      </c>
      <c r="H350" s="3">
        <v>106.1</v>
      </c>
      <c r="I350" s="3">
        <v>104.7</v>
      </c>
      <c r="J350" s="3">
        <v>104.3</v>
      </c>
      <c r="K350" s="3">
        <v>523.1</v>
      </c>
      <c r="L350" s="3">
        <v>106</v>
      </c>
      <c r="M350" s="10" t="s">
        <v>180</v>
      </c>
    </row>
    <row r="351" spans="1:13" hidden="1">
      <c r="A351" t="s">
        <v>33</v>
      </c>
      <c r="B351">
        <v>2013</v>
      </c>
      <c r="C351" t="s">
        <v>36</v>
      </c>
      <c r="D351" s="3">
        <v>1386.8</v>
      </c>
      <c r="E351" s="3">
        <v>106.8</v>
      </c>
      <c r="F351" s="3">
        <v>320.2</v>
      </c>
      <c r="G351" s="3">
        <v>100.4</v>
      </c>
      <c r="H351" s="3">
        <v>106</v>
      </c>
      <c r="I351" s="3">
        <v>105.2</v>
      </c>
      <c r="J351" s="3">
        <v>103.8</v>
      </c>
      <c r="K351" s="3">
        <v>523.79999999999995</v>
      </c>
      <c r="L351" s="3">
        <v>105</v>
      </c>
      <c r="M351" s="10" t="s">
        <v>180</v>
      </c>
    </row>
    <row r="352" spans="1:13" hidden="1">
      <c r="A352" t="s">
        <v>34</v>
      </c>
      <c r="B352">
        <v>2013</v>
      </c>
      <c r="C352" t="s">
        <v>36</v>
      </c>
      <c r="D352" s="3">
        <v>1384.0000000000002</v>
      </c>
      <c r="E352" s="3">
        <v>106.6</v>
      </c>
      <c r="F352" s="3">
        <v>321.2</v>
      </c>
      <c r="G352" s="3">
        <v>100.4</v>
      </c>
      <c r="H352" s="3">
        <v>106.1</v>
      </c>
      <c r="I352" s="3">
        <v>104.9</v>
      </c>
      <c r="J352" s="3">
        <v>104</v>
      </c>
      <c r="K352" s="3">
        <v>523.4</v>
      </c>
      <c r="L352" s="3">
        <v>105.5</v>
      </c>
      <c r="M352" s="10" t="s">
        <v>180</v>
      </c>
    </row>
    <row r="353" spans="1:13" hidden="1">
      <c r="A353" t="s">
        <v>30</v>
      </c>
      <c r="B353">
        <v>2013</v>
      </c>
      <c r="C353" t="s">
        <v>39</v>
      </c>
      <c r="D353" s="3">
        <v>1420</v>
      </c>
      <c r="E353" s="3">
        <v>109</v>
      </c>
      <c r="F353" s="3">
        <v>328</v>
      </c>
      <c r="G353" s="3">
        <v>105.6</v>
      </c>
      <c r="H353" s="3">
        <v>108.5</v>
      </c>
      <c r="I353" s="3">
        <v>106.3</v>
      </c>
      <c r="J353" s="3">
        <v>106.5</v>
      </c>
      <c r="K353" s="3">
        <v>526.1</v>
      </c>
      <c r="L353" s="3">
        <v>108.9</v>
      </c>
      <c r="M353" s="10" t="s">
        <v>181</v>
      </c>
    </row>
    <row r="354" spans="1:13" hidden="1">
      <c r="A354" t="s">
        <v>33</v>
      </c>
      <c r="B354">
        <v>2013</v>
      </c>
      <c r="C354" t="s">
        <v>39</v>
      </c>
      <c r="D354" s="3">
        <v>1464.6000000000001</v>
      </c>
      <c r="E354" s="3">
        <v>110.9</v>
      </c>
      <c r="F354" s="3">
        <v>325.3</v>
      </c>
      <c r="G354" s="3">
        <v>106.6</v>
      </c>
      <c r="H354" s="3">
        <v>108</v>
      </c>
      <c r="I354" s="3">
        <v>106.5</v>
      </c>
      <c r="J354" s="3">
        <v>108.1</v>
      </c>
      <c r="K354" s="3">
        <v>527.5</v>
      </c>
      <c r="L354" s="3">
        <v>109.7</v>
      </c>
      <c r="M354" s="10" t="s">
        <v>181</v>
      </c>
    </row>
    <row r="355" spans="1:13" hidden="1">
      <c r="A355" t="s">
        <v>34</v>
      </c>
      <c r="B355">
        <v>2013</v>
      </c>
      <c r="C355" t="s">
        <v>39</v>
      </c>
      <c r="D355" s="3">
        <v>1436</v>
      </c>
      <c r="E355" s="3">
        <v>109.5</v>
      </c>
      <c r="F355" s="3">
        <v>326.89999999999998</v>
      </c>
      <c r="G355" s="3">
        <v>106.6</v>
      </c>
      <c r="H355" s="3">
        <v>108.3</v>
      </c>
      <c r="I355" s="3">
        <v>106.4</v>
      </c>
      <c r="J355" s="3">
        <v>107.4</v>
      </c>
      <c r="K355" s="3">
        <v>526.70000000000005</v>
      </c>
      <c r="L355" s="3">
        <v>109.3</v>
      </c>
      <c r="M355" s="10" t="s">
        <v>181</v>
      </c>
    </row>
    <row r="356" spans="1:13" hidden="1">
      <c r="A356" t="s">
        <v>30</v>
      </c>
      <c r="B356">
        <v>2013</v>
      </c>
      <c r="C356" t="s">
        <v>40</v>
      </c>
      <c r="D356" s="3">
        <v>1445.8999999999996</v>
      </c>
      <c r="E356" s="3">
        <v>109.8</v>
      </c>
      <c r="F356" s="3">
        <v>330.3</v>
      </c>
      <c r="G356" s="3">
        <v>105.6</v>
      </c>
      <c r="H356" s="3">
        <v>109.5</v>
      </c>
      <c r="I356" s="3">
        <v>106.9</v>
      </c>
      <c r="J356" s="3">
        <v>107.8</v>
      </c>
      <c r="K356" s="3">
        <v>530.5</v>
      </c>
      <c r="L356" s="3">
        <v>110.7</v>
      </c>
      <c r="M356" s="10" t="s">
        <v>182</v>
      </c>
    </row>
    <row r="357" spans="1:13" hidden="1">
      <c r="A357" t="s">
        <v>33</v>
      </c>
      <c r="B357">
        <v>2013</v>
      </c>
      <c r="C357" t="s">
        <v>40</v>
      </c>
      <c r="D357" s="3">
        <v>1489.4</v>
      </c>
      <c r="E357" s="3">
        <v>111.7</v>
      </c>
      <c r="F357" s="3">
        <v>327.10000000000002</v>
      </c>
      <c r="G357" s="3">
        <v>107.7</v>
      </c>
      <c r="H357" s="3">
        <v>108.6</v>
      </c>
      <c r="I357" s="3">
        <v>107.1</v>
      </c>
      <c r="J357" s="3">
        <v>110.1</v>
      </c>
      <c r="K357" s="3">
        <v>531.79999999999995</v>
      </c>
      <c r="L357" s="3">
        <v>111.4</v>
      </c>
      <c r="M357" s="10" t="s">
        <v>182</v>
      </c>
    </row>
    <row r="358" spans="1:13" hidden="1">
      <c r="A358" t="s">
        <v>34</v>
      </c>
      <c r="B358">
        <v>2013</v>
      </c>
      <c r="C358" t="s">
        <v>40</v>
      </c>
      <c r="D358" s="3">
        <v>1461.3999999999999</v>
      </c>
      <c r="E358" s="3">
        <v>110.3</v>
      </c>
      <c r="F358" s="3">
        <v>329</v>
      </c>
      <c r="G358" s="3">
        <v>107.7</v>
      </c>
      <c r="H358" s="3">
        <v>109.2</v>
      </c>
      <c r="I358" s="3">
        <v>107</v>
      </c>
      <c r="J358" s="3">
        <v>109.1</v>
      </c>
      <c r="K358" s="3">
        <v>531.1</v>
      </c>
      <c r="L358" s="3">
        <v>111</v>
      </c>
      <c r="M358" s="10" t="s">
        <v>182</v>
      </c>
    </row>
    <row r="359" spans="1:13" hidden="1">
      <c r="A359" t="s">
        <v>30</v>
      </c>
      <c r="B359">
        <v>2013</v>
      </c>
      <c r="C359" t="s">
        <v>31</v>
      </c>
      <c r="D359" s="5">
        <v>1371.6999999999998</v>
      </c>
      <c r="E359" s="3">
        <v>105.1</v>
      </c>
      <c r="F359" s="5">
        <v>318.70000000000005</v>
      </c>
      <c r="G359" s="3">
        <v>105.6</v>
      </c>
      <c r="H359" s="3">
        <v>105.5</v>
      </c>
      <c r="I359" s="3">
        <v>104</v>
      </c>
      <c r="J359" s="3">
        <v>103.8</v>
      </c>
      <c r="K359" s="5">
        <v>520.20000000000005</v>
      </c>
      <c r="L359" s="3">
        <v>105.1</v>
      </c>
      <c r="M359" s="10" t="s">
        <v>183</v>
      </c>
    </row>
    <row r="360" spans="1:13" hidden="1">
      <c r="A360" t="s">
        <v>33</v>
      </c>
      <c r="B360">
        <v>2013</v>
      </c>
      <c r="C360" t="s">
        <v>31</v>
      </c>
      <c r="D360" s="3">
        <v>1376.4</v>
      </c>
      <c r="E360" s="3">
        <v>105.2</v>
      </c>
      <c r="F360" s="3">
        <v>316.7</v>
      </c>
      <c r="G360" s="3">
        <v>100.3</v>
      </c>
      <c r="H360" s="3">
        <v>105.4</v>
      </c>
      <c r="I360" s="3">
        <v>104.1</v>
      </c>
      <c r="J360" s="3">
        <v>103.5</v>
      </c>
      <c r="K360" s="3">
        <v>518.9</v>
      </c>
      <c r="L360" s="3">
        <v>104</v>
      </c>
      <c r="M360" s="10" t="s">
        <v>183</v>
      </c>
    </row>
    <row r="361" spans="1:13" hidden="1">
      <c r="A361" t="s">
        <v>34</v>
      </c>
      <c r="B361">
        <v>2013</v>
      </c>
      <c r="C361" t="s">
        <v>31</v>
      </c>
      <c r="D361" s="3">
        <v>1373.3000000000002</v>
      </c>
      <c r="E361" s="3">
        <v>105.1</v>
      </c>
      <c r="F361" s="3">
        <v>318</v>
      </c>
      <c r="G361" s="3">
        <v>100.3</v>
      </c>
      <c r="H361" s="3">
        <v>105.5</v>
      </c>
      <c r="I361" s="3">
        <v>104</v>
      </c>
      <c r="J361" s="3">
        <v>103.6</v>
      </c>
      <c r="K361" s="3">
        <v>519.5</v>
      </c>
      <c r="L361" s="3">
        <v>104.6</v>
      </c>
      <c r="M361" s="10" t="s">
        <v>183</v>
      </c>
    </row>
    <row r="362" spans="1:13" hidden="1">
      <c r="A362" t="s">
        <v>30</v>
      </c>
      <c r="B362">
        <v>2013</v>
      </c>
      <c r="C362" t="s">
        <v>35</v>
      </c>
      <c r="D362" s="3">
        <v>1380.3999999999999</v>
      </c>
      <c r="E362" s="3">
        <v>105.6</v>
      </c>
      <c r="F362" s="3">
        <v>320.39999999999998</v>
      </c>
      <c r="G362" s="3">
        <v>105.6</v>
      </c>
      <c r="H362" s="3">
        <v>106.2</v>
      </c>
      <c r="I362" s="3">
        <v>104.4</v>
      </c>
      <c r="J362" s="3">
        <v>104.1</v>
      </c>
      <c r="K362" s="3">
        <v>522.1</v>
      </c>
      <c r="L362" s="3">
        <v>105.8</v>
      </c>
      <c r="M362" s="10" t="s">
        <v>184</v>
      </c>
    </row>
    <row r="363" spans="1:13" hidden="1">
      <c r="A363" t="s">
        <v>33</v>
      </c>
      <c r="B363">
        <v>2013</v>
      </c>
      <c r="C363" t="s">
        <v>35</v>
      </c>
      <c r="D363" s="3">
        <v>1390.6000000000001</v>
      </c>
      <c r="E363" s="3">
        <v>106</v>
      </c>
      <c r="F363" s="3">
        <v>318.5</v>
      </c>
      <c r="G363" s="3">
        <v>100.4</v>
      </c>
      <c r="H363" s="3">
        <v>105.7</v>
      </c>
      <c r="I363" s="3">
        <v>104.7</v>
      </c>
      <c r="J363" s="3">
        <v>103.7</v>
      </c>
      <c r="K363" s="3">
        <v>521.5</v>
      </c>
      <c r="L363" s="3">
        <v>104.7</v>
      </c>
      <c r="M363" s="10" t="s">
        <v>184</v>
      </c>
    </row>
    <row r="364" spans="1:13" hidden="1">
      <c r="A364" t="s">
        <v>34</v>
      </c>
      <c r="B364">
        <v>2013</v>
      </c>
      <c r="C364" t="s">
        <v>35</v>
      </c>
      <c r="D364" s="3">
        <v>1384.2</v>
      </c>
      <c r="E364" s="3">
        <v>105.7</v>
      </c>
      <c r="F364" s="3">
        <v>319.7</v>
      </c>
      <c r="G364" s="3">
        <v>100.4</v>
      </c>
      <c r="H364" s="3">
        <v>106</v>
      </c>
      <c r="I364" s="3">
        <v>104.5</v>
      </c>
      <c r="J364" s="3">
        <v>103.9</v>
      </c>
      <c r="K364" s="3">
        <v>521.9</v>
      </c>
      <c r="L364" s="3">
        <v>105.3</v>
      </c>
      <c r="M364" s="10" t="s">
        <v>184</v>
      </c>
    </row>
    <row r="365" spans="1:13" hidden="1">
      <c r="A365" t="s">
        <v>30</v>
      </c>
      <c r="B365">
        <v>2013</v>
      </c>
      <c r="C365" t="s">
        <v>46</v>
      </c>
      <c r="D365" s="3">
        <v>1509</v>
      </c>
      <c r="E365" s="3">
        <v>113.6</v>
      </c>
      <c r="F365" s="3">
        <v>345.3</v>
      </c>
      <c r="G365" s="3">
        <v>105.6</v>
      </c>
      <c r="H365" s="3">
        <v>112.8</v>
      </c>
      <c r="I365" s="3">
        <v>110.1</v>
      </c>
      <c r="J365" s="3">
        <v>111.6</v>
      </c>
      <c r="K365" s="3">
        <v>549.4</v>
      </c>
      <c r="L365" s="3">
        <v>115.5</v>
      </c>
      <c r="M365" s="10" t="s">
        <v>185</v>
      </c>
    </row>
    <row r="366" spans="1:13" hidden="1">
      <c r="A366" t="s">
        <v>33</v>
      </c>
      <c r="B366">
        <v>2013</v>
      </c>
      <c r="C366" t="s">
        <v>46</v>
      </c>
      <c r="D366" s="3">
        <v>1504.4</v>
      </c>
      <c r="E366" s="3">
        <v>115</v>
      </c>
      <c r="F366" s="3">
        <v>338.8</v>
      </c>
      <c r="G366" s="3">
        <v>110.7</v>
      </c>
      <c r="H366" s="3">
        <v>110.4</v>
      </c>
      <c r="I366" s="3">
        <v>109</v>
      </c>
      <c r="J366" s="3">
        <v>111.4</v>
      </c>
      <c r="K366" s="3">
        <v>547.4</v>
      </c>
      <c r="L366" s="3">
        <v>113.3</v>
      </c>
      <c r="M366" s="10" t="s">
        <v>185</v>
      </c>
    </row>
    <row r="367" spans="1:13" hidden="1">
      <c r="A367" t="s">
        <v>34</v>
      </c>
      <c r="B367">
        <v>2013</v>
      </c>
      <c r="C367" t="s">
        <v>46</v>
      </c>
      <c r="D367" s="3">
        <v>1507.3000000000002</v>
      </c>
      <c r="E367" s="3">
        <v>114</v>
      </c>
      <c r="F367" s="3">
        <v>342.7</v>
      </c>
      <c r="G367" s="3">
        <v>110.7</v>
      </c>
      <c r="H367" s="3">
        <v>111.9</v>
      </c>
      <c r="I367" s="3">
        <v>109.7</v>
      </c>
      <c r="J367" s="3">
        <v>111.5</v>
      </c>
      <c r="K367" s="3">
        <v>548.4</v>
      </c>
      <c r="L367" s="3">
        <v>114.5</v>
      </c>
      <c r="M367" s="10" t="s">
        <v>185</v>
      </c>
    </row>
    <row r="368" spans="1:13" hidden="1">
      <c r="A368" t="s">
        <v>30</v>
      </c>
      <c r="B368">
        <v>2013</v>
      </c>
      <c r="C368" t="s">
        <v>41</v>
      </c>
      <c r="D368" s="3">
        <v>1462.5</v>
      </c>
      <c r="E368" s="3">
        <v>110.7</v>
      </c>
      <c r="F368" s="3">
        <v>332.6</v>
      </c>
      <c r="G368" s="3">
        <v>105.6</v>
      </c>
      <c r="H368" s="3">
        <v>109.9</v>
      </c>
      <c r="I368" s="3">
        <v>107.5</v>
      </c>
      <c r="J368" s="3">
        <v>108.7</v>
      </c>
      <c r="K368" s="3">
        <v>535.79999999999995</v>
      </c>
      <c r="L368" s="3">
        <v>112.1</v>
      </c>
      <c r="M368" s="10" t="s">
        <v>186</v>
      </c>
    </row>
    <row r="369" spans="1:13" hidden="1">
      <c r="A369" t="s">
        <v>33</v>
      </c>
      <c r="B369">
        <v>2013</v>
      </c>
      <c r="C369" t="s">
        <v>41</v>
      </c>
      <c r="D369" s="3">
        <v>1506.1000000000001</v>
      </c>
      <c r="E369" s="3">
        <v>112.4</v>
      </c>
      <c r="F369" s="3">
        <v>329.09999999999997</v>
      </c>
      <c r="G369" s="3">
        <v>108.9</v>
      </c>
      <c r="H369" s="3">
        <v>109.3</v>
      </c>
      <c r="I369" s="3">
        <v>107.6</v>
      </c>
      <c r="J369" s="3">
        <v>110.8</v>
      </c>
      <c r="K369" s="3">
        <v>537.6</v>
      </c>
      <c r="L369" s="3">
        <v>112.7</v>
      </c>
      <c r="M369" s="10" t="s">
        <v>186</v>
      </c>
    </row>
    <row r="370" spans="1:13" hidden="1">
      <c r="A370" t="s">
        <v>34</v>
      </c>
      <c r="B370">
        <v>2013</v>
      </c>
      <c r="C370" t="s">
        <v>41</v>
      </c>
      <c r="D370" s="3">
        <v>1477.4</v>
      </c>
      <c r="E370" s="3">
        <v>111.2</v>
      </c>
      <c r="F370" s="3">
        <v>331.1</v>
      </c>
      <c r="G370" s="3">
        <v>108.9</v>
      </c>
      <c r="H370" s="3">
        <v>109.7</v>
      </c>
      <c r="I370" s="3">
        <v>107.5</v>
      </c>
      <c r="J370" s="3">
        <v>109.9</v>
      </c>
      <c r="K370" s="3">
        <v>536.59999999999991</v>
      </c>
      <c r="L370" s="3">
        <v>112.4</v>
      </c>
      <c r="M370" s="10" t="s">
        <v>186</v>
      </c>
    </row>
    <row r="371" spans="1:13" hidden="1">
      <c r="A371" t="s">
        <v>30</v>
      </c>
      <c r="B371">
        <v>2013</v>
      </c>
      <c r="C371" t="s">
        <v>37</v>
      </c>
      <c r="D371" s="3">
        <v>1385.8</v>
      </c>
      <c r="E371" s="3">
        <v>107.1</v>
      </c>
      <c r="F371" s="3">
        <v>323.5</v>
      </c>
      <c r="G371" s="3">
        <v>105.6</v>
      </c>
      <c r="H371" s="3">
        <v>106.5</v>
      </c>
      <c r="I371" s="3">
        <v>105.1</v>
      </c>
      <c r="J371" s="3">
        <v>104.8</v>
      </c>
      <c r="K371" s="3">
        <v>522.29999999999995</v>
      </c>
      <c r="L371" s="3">
        <v>106.4</v>
      </c>
      <c r="M371" s="10" t="s">
        <v>187</v>
      </c>
    </row>
    <row r="372" spans="1:13" hidden="1">
      <c r="A372" t="s">
        <v>33</v>
      </c>
      <c r="B372">
        <v>2013</v>
      </c>
      <c r="C372" t="s">
        <v>37</v>
      </c>
      <c r="D372" s="3">
        <v>1397.6999999999998</v>
      </c>
      <c r="E372" s="3">
        <v>108.5</v>
      </c>
      <c r="F372" s="3">
        <v>322</v>
      </c>
      <c r="G372" s="3">
        <v>100.5</v>
      </c>
      <c r="H372" s="3">
        <v>106.4</v>
      </c>
      <c r="I372" s="3">
        <v>105.7</v>
      </c>
      <c r="J372" s="3">
        <v>105.2</v>
      </c>
      <c r="K372" s="3">
        <v>523.79999999999995</v>
      </c>
      <c r="L372" s="3">
        <v>105.7</v>
      </c>
      <c r="M372" s="10" t="s">
        <v>187</v>
      </c>
    </row>
    <row r="373" spans="1:13" hidden="1">
      <c r="A373" t="s">
        <v>34</v>
      </c>
      <c r="B373">
        <v>2013</v>
      </c>
      <c r="C373" t="s">
        <v>37</v>
      </c>
      <c r="D373" s="3">
        <v>1390.2</v>
      </c>
      <c r="E373" s="3">
        <v>107.5</v>
      </c>
      <c r="F373" s="3">
        <v>322.89999999999998</v>
      </c>
      <c r="G373" s="3">
        <v>100.5</v>
      </c>
      <c r="H373" s="3">
        <v>106.5</v>
      </c>
      <c r="I373" s="3">
        <v>105.3</v>
      </c>
      <c r="J373" s="3">
        <v>105</v>
      </c>
      <c r="K373" s="3">
        <v>522.9</v>
      </c>
      <c r="L373" s="3">
        <v>106.1</v>
      </c>
      <c r="M373" s="10" t="s">
        <v>187</v>
      </c>
    </row>
  </sheetData>
  <autoFilter ref="A1:M373" xr:uid="{DB31B872-05B5-4FF3-9120-A0234285CE17}">
    <filterColumn colId="12">
      <filters>
        <filter val="2022 May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C173-C523-4E93-908E-D2F5EBA365F5}">
  <dimension ref="A3:U68"/>
  <sheetViews>
    <sheetView topLeftCell="Q1" zoomScale="88" workbookViewId="0">
      <selection activeCell="AG13" sqref="AG13"/>
    </sheetView>
  </sheetViews>
  <sheetFormatPr defaultRowHeight="14.4"/>
  <cols>
    <col min="1" max="1" width="13" bestFit="1" customWidth="1"/>
    <col min="2" max="2" width="15.109375" bestFit="1" customWidth="1"/>
    <col min="3" max="3" width="16.5546875" bestFit="1" customWidth="1"/>
    <col min="4" max="4" width="27.5546875" bestFit="1" customWidth="1"/>
    <col min="7" max="7" width="12.88671875" bestFit="1" customWidth="1"/>
    <col min="21" max="21" width="12.77734375" customWidth="1"/>
  </cols>
  <sheetData>
    <row r="3" spans="1:21">
      <c r="A3" s="28" t="s">
        <v>195</v>
      </c>
      <c r="B3" t="s">
        <v>201</v>
      </c>
      <c r="C3" t="s">
        <v>202</v>
      </c>
      <c r="D3" t="s">
        <v>204</v>
      </c>
    </row>
    <row r="4" spans="1:21">
      <c r="A4" s="14">
        <v>2018</v>
      </c>
      <c r="B4" s="29">
        <v>1769.2083333333335</v>
      </c>
      <c r="C4" s="29">
        <v>137.00555555555553</v>
      </c>
      <c r="D4" s="29">
        <v>657.84999999999991</v>
      </c>
    </row>
    <row r="5" spans="1:21">
      <c r="A5" s="14">
        <v>2019</v>
      </c>
      <c r="B5" s="29">
        <v>1835.1454545454544</v>
      </c>
      <c r="C5" s="29">
        <v>146.92424242424244</v>
      </c>
      <c r="D5" s="29">
        <v>686.23939393939395</v>
      </c>
    </row>
    <row r="6" spans="1:21">
      <c r="A6" s="14">
        <v>2020</v>
      </c>
      <c r="B6" s="29">
        <v>1976.9627848860457</v>
      </c>
      <c r="C6" s="29">
        <v>152.22583333333333</v>
      </c>
      <c r="D6" s="29">
        <v>719.06166666666661</v>
      </c>
      <c r="R6" s="101" t="s">
        <v>195</v>
      </c>
      <c r="S6" s="101" t="s">
        <v>49</v>
      </c>
      <c r="T6" s="101" t="s">
        <v>23</v>
      </c>
      <c r="U6" s="101" t="s">
        <v>28</v>
      </c>
    </row>
    <row r="7" spans="1:21">
      <c r="A7" s="14">
        <v>2021</v>
      </c>
      <c r="B7" s="29">
        <v>2123.3861111111114</v>
      </c>
      <c r="C7" s="29">
        <v>165.13333333333335</v>
      </c>
      <c r="D7" s="29">
        <v>777.89166666666654</v>
      </c>
      <c r="R7" s="14">
        <v>2018</v>
      </c>
      <c r="S7" s="29">
        <v>1769.2083333333335</v>
      </c>
      <c r="T7" s="29">
        <v>137.00555555555553</v>
      </c>
      <c r="U7" s="29">
        <v>657.84999999999991</v>
      </c>
    </row>
    <row r="8" spans="1:21">
      <c r="A8" s="14">
        <v>2022</v>
      </c>
      <c r="B8" s="29">
        <v>2246.6388888888887</v>
      </c>
      <c r="C8" s="29">
        <v>175.35277777777776</v>
      </c>
      <c r="D8" s="29">
        <v>830.94166666666649</v>
      </c>
      <c r="R8" s="14">
        <v>2019</v>
      </c>
      <c r="S8" s="29">
        <v>1835.1454545454544</v>
      </c>
      <c r="T8" s="29">
        <v>146.92424242424244</v>
      </c>
      <c r="U8" s="29">
        <v>686.23939393939395</v>
      </c>
    </row>
    <row r="9" spans="1:21">
      <c r="A9" s="14" t="s">
        <v>196</v>
      </c>
      <c r="B9" s="29">
        <v>1992.8975155700432</v>
      </c>
      <c r="C9" s="29">
        <v>155.47079096045195</v>
      </c>
      <c r="D9" s="29">
        <v>735.21310734463282</v>
      </c>
      <c r="R9" s="14">
        <v>2020</v>
      </c>
      <c r="S9" s="29">
        <v>1976.9627848860457</v>
      </c>
      <c r="T9" s="29">
        <v>152.22583333333333</v>
      </c>
      <c r="U9" s="29">
        <v>719.06166666666661</v>
      </c>
    </row>
    <row r="10" spans="1:21">
      <c r="R10" s="14">
        <v>2021</v>
      </c>
      <c r="S10" s="29">
        <v>2123.3861111111114</v>
      </c>
      <c r="T10" s="29">
        <v>165.13333333333335</v>
      </c>
      <c r="U10" s="29">
        <v>777.89166666666654</v>
      </c>
    </row>
    <row r="11" spans="1:21">
      <c r="R11" s="14">
        <v>2022</v>
      </c>
      <c r="S11" s="29">
        <v>2246.6388888888887</v>
      </c>
      <c r="T11" s="29">
        <v>175.35277777777776</v>
      </c>
      <c r="U11" s="29">
        <v>830.94166666666649</v>
      </c>
    </row>
    <row r="23" spans="1:20" ht="15" thickBot="1"/>
    <row r="24" spans="1:20">
      <c r="A24" s="33" t="s">
        <v>195</v>
      </c>
      <c r="B24" s="34" t="s">
        <v>201</v>
      </c>
      <c r="C24" s="34" t="s">
        <v>202</v>
      </c>
      <c r="D24" s="34" t="s">
        <v>204</v>
      </c>
      <c r="E24" s="34" t="s">
        <v>199</v>
      </c>
      <c r="F24" s="34" t="s">
        <v>198</v>
      </c>
      <c r="G24" s="35" t="s">
        <v>200</v>
      </c>
    </row>
    <row r="25" spans="1:20">
      <c r="A25" s="36">
        <v>2018</v>
      </c>
      <c r="B25" s="29">
        <v>1769.2083333333335</v>
      </c>
      <c r="C25" s="29">
        <v>137.00555555555559</v>
      </c>
      <c r="D25" s="29">
        <v>657.84999999999991</v>
      </c>
      <c r="G25" s="37"/>
    </row>
    <row r="26" spans="1:20">
      <c r="A26" s="36">
        <v>2019</v>
      </c>
      <c r="B26" s="29">
        <v>1835.1454545454544</v>
      </c>
      <c r="C26" s="29">
        <v>146.92424242424244</v>
      </c>
      <c r="D26" s="29">
        <v>686.23939393939395</v>
      </c>
      <c r="E26" s="38">
        <f>(B26-B25)/B25</f>
        <v>3.7269280259318013E-2</v>
      </c>
      <c r="F26" s="38">
        <f>(C26-C25)/C25</f>
        <v>7.2396238447898789E-2</v>
      </c>
      <c r="G26" s="39">
        <f>(D26-D25)/D25</f>
        <v>4.3154813315184379E-2</v>
      </c>
    </row>
    <row r="27" spans="1:20">
      <c r="A27" s="36">
        <v>2020</v>
      </c>
      <c r="B27" s="29">
        <v>1976.9627848860457</v>
      </c>
      <c r="C27" s="29">
        <v>152.22583333333333</v>
      </c>
      <c r="D27" s="29">
        <v>719.06166666666661</v>
      </c>
      <c r="E27" s="38">
        <f t="shared" ref="E27:E29" si="0">(B27-B26)/B26</f>
        <v>7.7278523067109098E-2</v>
      </c>
      <c r="F27" s="38">
        <f>(C27-C26)/C26</f>
        <v>3.6083840362998734E-2</v>
      </c>
      <c r="G27" s="39">
        <f t="shared" ref="G27:G29" si="1">(D27-D26)/D26</f>
        <v>4.7829187623366604E-2</v>
      </c>
    </row>
    <row r="28" spans="1:20" ht="15" thickBot="1">
      <c r="A28" s="36">
        <v>2021</v>
      </c>
      <c r="B28" s="29">
        <v>2123.3861111111114</v>
      </c>
      <c r="C28" s="29">
        <v>165.13333333333335</v>
      </c>
      <c r="D28" s="29">
        <v>777.89166666666654</v>
      </c>
      <c r="E28" s="38">
        <f t="shared" si="0"/>
        <v>7.4064786319943648E-2</v>
      </c>
      <c r="F28" s="38">
        <f t="shared" ref="F28:F29" si="2">(C28-C27)/C27</f>
        <v>8.4791784136507897E-2</v>
      </c>
      <c r="G28" s="39">
        <f t="shared" si="1"/>
        <v>8.1814957919696174E-2</v>
      </c>
    </row>
    <row r="29" spans="1:20" ht="15" thickBot="1">
      <c r="A29" s="36">
        <v>2022</v>
      </c>
      <c r="B29" s="29">
        <v>2246.6388888888887</v>
      </c>
      <c r="C29" s="29">
        <v>175.35277777777776</v>
      </c>
      <c r="D29" s="29">
        <v>830.94166666666649</v>
      </c>
      <c r="E29" s="38">
        <f t="shared" si="0"/>
        <v>5.8045391336426506E-2</v>
      </c>
      <c r="F29" s="38">
        <f t="shared" si="2"/>
        <v>6.1886018032566034E-2</v>
      </c>
      <c r="G29" s="39">
        <f t="shared" si="1"/>
        <v>6.8197156844890527E-2</v>
      </c>
      <c r="R29" s="50" t="s">
        <v>210</v>
      </c>
      <c r="S29" s="51"/>
      <c r="T29" s="52"/>
    </row>
    <row r="30" spans="1:20">
      <c r="A30" s="40" t="s">
        <v>196</v>
      </c>
      <c r="B30" s="32">
        <v>1825.3601082147784</v>
      </c>
      <c r="C30" s="32">
        <v>138.516747311828</v>
      </c>
      <c r="D30" s="32">
        <v>665.33473118279539</v>
      </c>
      <c r="G30" s="37"/>
      <c r="R30" s="49" t="s">
        <v>211</v>
      </c>
      <c r="S30" s="14"/>
      <c r="T30" s="48"/>
    </row>
    <row r="31" spans="1:20" ht="15" thickBot="1">
      <c r="A31" s="41"/>
      <c r="B31" s="42"/>
      <c r="C31" s="42"/>
      <c r="D31" s="42"/>
      <c r="E31" s="42"/>
      <c r="F31" s="42"/>
      <c r="G31" s="43"/>
      <c r="R31" t="s">
        <v>206</v>
      </c>
    </row>
    <row r="32" spans="1:20">
      <c r="R32" t="s">
        <v>212</v>
      </c>
    </row>
    <row r="33" spans="1:18">
      <c r="R33" t="s">
        <v>213</v>
      </c>
    </row>
    <row r="36" spans="1:18">
      <c r="A36" s="30" t="s">
        <v>195</v>
      </c>
      <c r="B36" s="30" t="s">
        <v>49</v>
      </c>
      <c r="C36" s="30" t="s">
        <v>23</v>
      </c>
      <c r="D36" s="30" t="s">
        <v>213</v>
      </c>
    </row>
    <row r="38" spans="1:18">
      <c r="A38">
        <v>2019</v>
      </c>
      <c r="B38" s="15">
        <v>3.7269280259318013E-2</v>
      </c>
      <c r="C38" s="15">
        <v>7.2396238447898789E-2</v>
      </c>
      <c r="D38" s="15">
        <v>4.3154813315184379E-2</v>
      </c>
    </row>
    <row r="39" spans="1:18">
      <c r="A39">
        <v>2020</v>
      </c>
      <c r="B39" s="15">
        <v>7.7278523067109098E-2</v>
      </c>
      <c r="C39" s="15">
        <v>3.6083840362998734E-2</v>
      </c>
      <c r="D39" s="15">
        <v>4.7829187623366604E-2</v>
      </c>
    </row>
    <row r="40" spans="1:18">
      <c r="A40">
        <v>2021</v>
      </c>
      <c r="B40" s="15">
        <v>7.4064786319943648E-2</v>
      </c>
      <c r="C40" s="15">
        <v>8.4791784136507897E-2</v>
      </c>
      <c r="D40" s="15">
        <v>8.1814957919696174E-2</v>
      </c>
    </row>
    <row r="41" spans="1:18">
      <c r="A41">
        <v>2022</v>
      </c>
      <c r="B41" s="15">
        <v>5.8045391336426506E-2</v>
      </c>
      <c r="C41" s="15">
        <v>6.1886018032566034E-2</v>
      </c>
      <c r="D41" s="15">
        <v>6.8197156844890527E-2</v>
      </c>
    </row>
    <row r="42" spans="1:18">
      <c r="A42" s="7"/>
    </row>
    <row r="44" spans="1:18">
      <c r="A44" s="30" t="s">
        <v>195</v>
      </c>
      <c r="B44" s="30" t="s">
        <v>49</v>
      </c>
      <c r="C44" s="30" t="s">
        <v>23</v>
      </c>
      <c r="D44" s="30" t="s">
        <v>213</v>
      </c>
    </row>
    <row r="46" spans="1:18">
      <c r="A46">
        <v>2019</v>
      </c>
      <c r="B46" s="29">
        <v>1835.1454545454544</v>
      </c>
      <c r="C46" s="29">
        <v>146.92424242424244</v>
      </c>
      <c r="D46" s="29">
        <v>686.23939393939395</v>
      </c>
    </row>
    <row r="47" spans="1:18">
      <c r="A47">
        <v>2020</v>
      </c>
      <c r="B47" s="29">
        <v>1976.9627848860457</v>
      </c>
      <c r="C47" s="29">
        <v>152.22583333333333</v>
      </c>
      <c r="D47" s="29">
        <v>719.06166666666661</v>
      </c>
    </row>
    <row r="48" spans="1:18">
      <c r="A48">
        <v>2021</v>
      </c>
      <c r="B48" s="29">
        <v>2123.3861111111114</v>
      </c>
      <c r="C48" s="29">
        <v>165.13333333333335</v>
      </c>
      <c r="D48" s="29">
        <v>777.89166666666654</v>
      </c>
    </row>
    <row r="49" spans="1:7">
      <c r="A49">
        <v>2022</v>
      </c>
      <c r="B49" s="29">
        <v>2246.6388888888887</v>
      </c>
      <c r="C49" s="29">
        <v>175.35277777777776</v>
      </c>
      <c r="D49" s="29">
        <v>830.94166666666649</v>
      </c>
    </row>
    <row r="60" spans="1:7" ht="15" thickBot="1"/>
    <row r="61" spans="1:7">
      <c r="A61" s="33" t="s">
        <v>195</v>
      </c>
      <c r="B61" s="34" t="s">
        <v>201</v>
      </c>
      <c r="C61" s="34" t="s">
        <v>202</v>
      </c>
      <c r="D61" s="34" t="s">
        <v>204</v>
      </c>
      <c r="E61" s="34" t="s">
        <v>49</v>
      </c>
      <c r="F61" s="34" t="s">
        <v>23</v>
      </c>
      <c r="G61" s="35" t="s">
        <v>28</v>
      </c>
    </row>
    <row r="62" spans="1:7" hidden="1">
      <c r="A62" s="11">
        <v>2017</v>
      </c>
      <c r="B62" s="17">
        <v>1752.9361111111111</v>
      </c>
      <c r="C62" s="17">
        <v>128.93888888888887</v>
      </c>
      <c r="D62" s="17">
        <v>626.18888888888875</v>
      </c>
      <c r="E62" s="11"/>
      <c r="F62" s="11"/>
      <c r="G62" s="11"/>
    </row>
    <row r="63" spans="1:7">
      <c r="A63" s="11">
        <v>2018</v>
      </c>
      <c r="B63" s="17">
        <v>1769.2083333333335</v>
      </c>
      <c r="C63" s="17">
        <v>137.00555555555559</v>
      </c>
      <c r="D63" s="17">
        <v>657.84999999999991</v>
      </c>
      <c r="E63" s="47">
        <f>((B63-B62)/B62)</f>
        <v>9.2828381588351723E-3</v>
      </c>
      <c r="F63" s="47">
        <f t="shared" ref="F63:F67" si="3">((C63-C62)/C62)</f>
        <v>6.2561937179542837E-2</v>
      </c>
      <c r="G63" s="47">
        <f t="shared" ref="G63:G67" si="4">((D63-D62)/D62)</f>
        <v>5.0561598381745024E-2</v>
      </c>
    </row>
    <row r="64" spans="1:7">
      <c r="A64" s="11">
        <v>2019</v>
      </c>
      <c r="B64" s="17">
        <v>1835.1454545454544</v>
      </c>
      <c r="C64" s="17">
        <v>146.92424242424244</v>
      </c>
      <c r="D64" s="17">
        <v>686.23939393939395</v>
      </c>
      <c r="E64" s="47">
        <f t="shared" ref="E64:E67" si="5">((B64-B63)/B63)</f>
        <v>3.7269280259318013E-2</v>
      </c>
      <c r="F64" s="47">
        <f t="shared" si="3"/>
        <v>7.2396238447898789E-2</v>
      </c>
      <c r="G64" s="47">
        <f t="shared" si="4"/>
        <v>4.3154813315184379E-2</v>
      </c>
    </row>
    <row r="65" spans="1:7">
      <c r="A65" s="11">
        <v>2020</v>
      </c>
      <c r="B65" s="17">
        <v>1976.9627848860457</v>
      </c>
      <c r="C65" s="17">
        <v>152.22583333333333</v>
      </c>
      <c r="D65" s="17">
        <v>719.06166666666661</v>
      </c>
      <c r="E65" s="47">
        <f t="shared" si="5"/>
        <v>7.7278523067109098E-2</v>
      </c>
      <c r="F65" s="47">
        <f t="shared" si="3"/>
        <v>3.6083840362998734E-2</v>
      </c>
      <c r="G65" s="47">
        <f t="shared" si="4"/>
        <v>4.7829187623366604E-2</v>
      </c>
    </row>
    <row r="66" spans="1:7">
      <c r="A66" s="11">
        <v>2021</v>
      </c>
      <c r="B66" s="17">
        <v>2123.3861111111114</v>
      </c>
      <c r="C66" s="17">
        <v>165.13333333333335</v>
      </c>
      <c r="D66" s="17">
        <v>777.89166666666654</v>
      </c>
      <c r="E66" s="47">
        <f t="shared" si="5"/>
        <v>7.4064786319943648E-2</v>
      </c>
      <c r="F66" s="47">
        <f t="shared" si="3"/>
        <v>8.4791784136507897E-2</v>
      </c>
      <c r="G66" s="47">
        <f t="shared" si="4"/>
        <v>8.1814957919696174E-2</v>
      </c>
    </row>
    <row r="67" spans="1:7">
      <c r="A67" s="11">
        <v>2022</v>
      </c>
      <c r="B67" s="17">
        <v>2246.6388888888887</v>
      </c>
      <c r="C67" s="17">
        <v>175.35277777777776</v>
      </c>
      <c r="D67" s="17">
        <v>830.94166666666649</v>
      </c>
      <c r="E67" s="47">
        <f t="shared" si="5"/>
        <v>5.8045391336426506E-2</v>
      </c>
      <c r="F67" s="47">
        <f t="shared" si="3"/>
        <v>6.1886018032566034E-2</v>
      </c>
      <c r="G67" s="47">
        <f t="shared" si="4"/>
        <v>6.8197156844890527E-2</v>
      </c>
    </row>
    <row r="68" spans="1:7">
      <c r="A68" s="102" t="s">
        <v>196</v>
      </c>
      <c r="B68" s="103">
        <v>1825.3601082147784</v>
      </c>
      <c r="C68" s="103">
        <v>138.516747311828</v>
      </c>
      <c r="D68" s="103">
        <v>665.33473118279539</v>
      </c>
      <c r="E68" s="47"/>
      <c r="F68" s="47"/>
      <c r="G68" s="11"/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AE87-E3CB-41EE-A150-E27769C0A02A}">
  <dimension ref="A1:AE63"/>
  <sheetViews>
    <sheetView zoomScale="55" zoomScaleNormal="99" workbookViewId="0">
      <pane ySplit="1" topLeftCell="A9" activePane="bottomLeft" state="frozen"/>
      <selection activeCell="G419" sqref="G419"/>
      <selection pane="bottomLeft" activeCell="G57" sqref="G57"/>
    </sheetView>
  </sheetViews>
  <sheetFormatPr defaultRowHeight="14.4"/>
  <cols>
    <col min="1" max="1" width="11.21875" bestFit="1" customWidth="1"/>
    <col min="2" max="2" width="30.77734375" bestFit="1" customWidth="1"/>
    <col min="3" max="3" width="16.21875" bestFit="1" customWidth="1"/>
    <col min="4" max="4" width="11.5546875" bestFit="1" customWidth="1"/>
    <col min="31" max="31" width="12.44140625" bestFit="1" customWidth="1"/>
  </cols>
  <sheetData>
    <row r="1" spans="1:31">
      <c r="A1" s="30" t="s">
        <v>0</v>
      </c>
      <c r="B1" s="44" t="s">
        <v>205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30" t="s">
        <v>26</v>
      </c>
      <c r="AC1" s="30" t="s">
        <v>27</v>
      </c>
      <c r="AD1" s="30" t="s">
        <v>28</v>
      </c>
      <c r="AE1" s="30" t="s">
        <v>29</v>
      </c>
    </row>
    <row r="2" spans="1:31">
      <c r="A2" t="s">
        <v>34</v>
      </c>
      <c r="B2">
        <v>7660</v>
      </c>
      <c r="C2">
        <v>2021</v>
      </c>
      <c r="D2" t="s">
        <v>31</v>
      </c>
      <c r="E2" s="3">
        <v>144.9</v>
      </c>
      <c r="F2" s="3">
        <v>190.1</v>
      </c>
      <c r="G2" s="3">
        <v>175.3</v>
      </c>
      <c r="H2" s="3">
        <v>154.1</v>
      </c>
      <c r="I2" s="3">
        <v>150.9</v>
      </c>
      <c r="J2" s="3">
        <v>149.6</v>
      </c>
      <c r="K2" s="3">
        <v>194.2</v>
      </c>
      <c r="L2" s="3">
        <v>160.4</v>
      </c>
      <c r="M2" s="3">
        <v>114.6</v>
      </c>
      <c r="N2" s="3">
        <v>164</v>
      </c>
      <c r="O2" s="3">
        <v>151.80000000000001</v>
      </c>
      <c r="P2" s="3">
        <v>165.6</v>
      </c>
      <c r="Q2" s="3">
        <v>161</v>
      </c>
      <c r="R2" s="3">
        <v>186.5</v>
      </c>
      <c r="S2" s="3">
        <v>155.5</v>
      </c>
      <c r="T2" s="3">
        <v>146.1</v>
      </c>
      <c r="U2" s="3">
        <v>154.19999999999999</v>
      </c>
      <c r="V2" s="3">
        <v>157.69999999999999</v>
      </c>
      <c r="W2" s="3">
        <v>147.9</v>
      </c>
      <c r="X2" s="3">
        <v>150</v>
      </c>
      <c r="Y2" s="3">
        <v>159.30000000000001</v>
      </c>
      <c r="Z2" s="3">
        <v>141.9</v>
      </c>
      <c r="AA2" s="3">
        <v>149.6</v>
      </c>
      <c r="AB2" s="3">
        <v>159.19999999999999</v>
      </c>
      <c r="AC2" s="3">
        <v>156.80000000000001</v>
      </c>
      <c r="AD2" s="3">
        <v>151.9</v>
      </c>
      <c r="AE2" s="3">
        <v>157.30000000000001</v>
      </c>
    </row>
    <row r="3" spans="1:31">
      <c r="A3" t="s">
        <v>34</v>
      </c>
      <c r="B3">
        <v>6583</v>
      </c>
      <c r="C3">
        <v>2021</v>
      </c>
      <c r="D3" t="s">
        <v>35</v>
      </c>
      <c r="E3" s="3">
        <v>144.30000000000001</v>
      </c>
      <c r="F3" s="3">
        <v>186.5</v>
      </c>
      <c r="G3" s="3">
        <v>168.7</v>
      </c>
      <c r="H3" s="3">
        <v>154.69999999999999</v>
      </c>
      <c r="I3" s="3">
        <v>158.69999999999999</v>
      </c>
      <c r="J3" s="3">
        <v>150.69999999999999</v>
      </c>
      <c r="K3" s="3">
        <v>160</v>
      </c>
      <c r="L3" s="3">
        <v>158.80000000000001</v>
      </c>
      <c r="M3" s="3">
        <v>112.8</v>
      </c>
      <c r="N3" s="3">
        <v>164.2</v>
      </c>
      <c r="O3" s="3">
        <v>155.5</v>
      </c>
      <c r="P3" s="3">
        <v>167.5</v>
      </c>
      <c r="Q3" s="3">
        <v>156.9</v>
      </c>
      <c r="R3" s="3">
        <v>188.3</v>
      </c>
      <c r="S3" s="3">
        <v>157.19999999999999</v>
      </c>
      <c r="T3" s="3">
        <v>147.4</v>
      </c>
      <c r="U3" s="3">
        <v>155.80000000000001</v>
      </c>
      <c r="V3" s="3">
        <v>159.80000000000001</v>
      </c>
      <c r="W3" s="3">
        <v>152.4</v>
      </c>
      <c r="X3" s="3">
        <v>150.9</v>
      </c>
      <c r="Y3" s="3">
        <v>161.30000000000001</v>
      </c>
      <c r="Z3" s="3">
        <v>145.1</v>
      </c>
      <c r="AA3" s="3">
        <v>151.5</v>
      </c>
      <c r="AB3" s="3">
        <v>159.5</v>
      </c>
      <c r="AC3" s="3">
        <v>155.80000000000001</v>
      </c>
      <c r="AD3" s="3">
        <v>153.4</v>
      </c>
      <c r="AE3" s="3">
        <v>156.6</v>
      </c>
    </row>
    <row r="4" spans="1:31">
      <c r="A4" t="s">
        <v>34</v>
      </c>
      <c r="B4">
        <v>8431</v>
      </c>
      <c r="C4">
        <v>2021</v>
      </c>
      <c r="D4" t="s">
        <v>36</v>
      </c>
      <c r="E4" s="3">
        <v>144.1</v>
      </c>
      <c r="F4" s="3">
        <v>192.2</v>
      </c>
      <c r="G4" s="3">
        <v>163.80000000000001</v>
      </c>
      <c r="H4" s="3">
        <v>154.9</v>
      </c>
      <c r="I4" s="3">
        <v>163.9</v>
      </c>
      <c r="J4" s="3">
        <v>153.69999999999999</v>
      </c>
      <c r="K4" s="3">
        <v>149.5</v>
      </c>
      <c r="L4" s="3">
        <v>159.80000000000001</v>
      </c>
      <c r="M4" s="3">
        <v>112.6</v>
      </c>
      <c r="N4" s="3">
        <v>163.5</v>
      </c>
      <c r="O4" s="3">
        <v>156.5</v>
      </c>
      <c r="P4" s="3">
        <v>168.2</v>
      </c>
      <c r="Q4" s="3">
        <v>156.69999999999999</v>
      </c>
      <c r="R4" s="3">
        <v>188.1</v>
      </c>
      <c r="S4" s="3">
        <v>157.80000000000001</v>
      </c>
      <c r="T4" s="3">
        <v>147.9</v>
      </c>
      <c r="U4" s="3">
        <v>156.4</v>
      </c>
      <c r="V4" s="3">
        <v>159.9</v>
      </c>
      <c r="W4" s="3">
        <v>155.5</v>
      </c>
      <c r="X4" s="3">
        <v>151.19999999999999</v>
      </c>
      <c r="Y4" s="3">
        <v>161.69999999999999</v>
      </c>
      <c r="Z4" s="3">
        <v>146.19999999999999</v>
      </c>
      <c r="AA4" s="3">
        <v>152.6</v>
      </c>
      <c r="AB4" s="3">
        <v>160.19999999999999</v>
      </c>
      <c r="AC4" s="3">
        <v>153.80000000000001</v>
      </c>
      <c r="AD4" s="3">
        <v>153.80000000000001</v>
      </c>
      <c r="AE4" s="3">
        <v>156.80000000000001</v>
      </c>
    </row>
    <row r="5" spans="1:31">
      <c r="A5" t="s">
        <v>34</v>
      </c>
      <c r="B5">
        <v>8555</v>
      </c>
      <c r="C5">
        <v>2021</v>
      </c>
      <c r="D5" t="s">
        <v>37</v>
      </c>
      <c r="E5" s="3">
        <v>144.30000000000001</v>
      </c>
      <c r="F5" s="3">
        <v>198</v>
      </c>
      <c r="G5" s="3">
        <v>164.6</v>
      </c>
      <c r="H5" s="3">
        <v>155.4</v>
      </c>
      <c r="I5" s="3">
        <v>170.1</v>
      </c>
      <c r="J5" s="3">
        <v>164.4</v>
      </c>
      <c r="K5" s="3">
        <v>144.1</v>
      </c>
      <c r="L5" s="3">
        <v>161.69999999999999</v>
      </c>
      <c r="M5" s="3">
        <v>113.1</v>
      </c>
      <c r="N5" s="3">
        <v>163.9</v>
      </c>
      <c r="O5" s="3">
        <v>157.6</v>
      </c>
      <c r="P5" s="3">
        <v>168.9</v>
      </c>
      <c r="Q5" s="3">
        <v>158</v>
      </c>
      <c r="R5" s="3">
        <v>188.8</v>
      </c>
      <c r="S5" s="3">
        <v>158.80000000000001</v>
      </c>
      <c r="T5" s="3">
        <v>148.5</v>
      </c>
      <c r="U5" s="3">
        <v>157.30000000000001</v>
      </c>
      <c r="V5" s="3">
        <v>161.4</v>
      </c>
      <c r="W5" s="3">
        <v>155.6</v>
      </c>
      <c r="X5" s="3">
        <v>151.80000000000001</v>
      </c>
      <c r="Y5" s="3">
        <v>162.30000000000001</v>
      </c>
      <c r="Z5" s="3">
        <v>146.6</v>
      </c>
      <c r="AA5" s="3">
        <v>153.19999999999999</v>
      </c>
      <c r="AB5" s="3">
        <v>160.30000000000001</v>
      </c>
      <c r="AC5" s="3">
        <v>155.4</v>
      </c>
      <c r="AD5" s="3">
        <v>154.4</v>
      </c>
      <c r="AE5" s="3">
        <v>157.80000000000001</v>
      </c>
    </row>
    <row r="6" spans="1:31">
      <c r="A6" t="s">
        <v>34</v>
      </c>
      <c r="B6">
        <v>8262</v>
      </c>
      <c r="C6">
        <v>2021</v>
      </c>
      <c r="D6" t="s">
        <v>38</v>
      </c>
      <c r="E6" s="3">
        <v>146.30000000000001</v>
      </c>
      <c r="F6" s="3">
        <v>200.5</v>
      </c>
      <c r="G6" s="3">
        <v>170.3</v>
      </c>
      <c r="H6" s="3">
        <v>156.1</v>
      </c>
      <c r="I6" s="3">
        <v>178.7</v>
      </c>
      <c r="J6" s="3">
        <v>167.1</v>
      </c>
      <c r="K6" s="3">
        <v>147.9</v>
      </c>
      <c r="L6" s="3">
        <v>165.4</v>
      </c>
      <c r="M6" s="3">
        <v>114.8</v>
      </c>
      <c r="N6" s="3">
        <v>168.2</v>
      </c>
      <c r="O6" s="3">
        <v>159.30000000000001</v>
      </c>
      <c r="P6" s="3">
        <v>170.4</v>
      </c>
      <c r="Q6" s="3">
        <v>160.69999999999999</v>
      </c>
      <c r="R6" s="3">
        <v>191.9</v>
      </c>
      <c r="S6" s="3">
        <v>161.80000000000001</v>
      </c>
      <c r="T6" s="3">
        <v>152.1</v>
      </c>
      <c r="U6" s="3">
        <v>160.4</v>
      </c>
      <c r="V6" s="3">
        <v>161.6</v>
      </c>
      <c r="W6" s="3">
        <v>159.4</v>
      </c>
      <c r="X6" s="3">
        <v>154.69999999999999</v>
      </c>
      <c r="Y6" s="3">
        <v>165.8</v>
      </c>
      <c r="Z6" s="3">
        <v>148.9</v>
      </c>
      <c r="AA6" s="3">
        <v>155.80000000000001</v>
      </c>
      <c r="AB6" s="3">
        <v>161.19999999999999</v>
      </c>
      <c r="AC6" s="3">
        <v>158.6</v>
      </c>
      <c r="AD6" s="3">
        <v>156.80000000000001</v>
      </c>
      <c r="AE6" s="3">
        <v>160.4</v>
      </c>
    </row>
    <row r="7" spans="1:31">
      <c r="A7" t="s">
        <v>34</v>
      </c>
      <c r="B7">
        <v>8289</v>
      </c>
      <c r="C7">
        <v>2021</v>
      </c>
      <c r="D7" t="s">
        <v>39</v>
      </c>
      <c r="E7" s="3">
        <v>146.69999999999999</v>
      </c>
      <c r="F7" s="3">
        <v>202</v>
      </c>
      <c r="G7" s="3">
        <v>180.7</v>
      </c>
      <c r="H7" s="3">
        <v>156.19999999999999</v>
      </c>
      <c r="I7" s="3">
        <v>183.7</v>
      </c>
      <c r="J7" s="3">
        <v>164.6</v>
      </c>
      <c r="K7" s="3">
        <v>155.4</v>
      </c>
      <c r="L7" s="3">
        <v>166</v>
      </c>
      <c r="M7" s="3">
        <v>115.1</v>
      </c>
      <c r="N7" s="3">
        <v>168.5</v>
      </c>
      <c r="O7" s="3">
        <v>160</v>
      </c>
      <c r="P7" s="3">
        <v>172.4</v>
      </c>
      <c r="Q7" s="3">
        <v>162.6</v>
      </c>
      <c r="R7" s="3">
        <v>190.8</v>
      </c>
      <c r="S7" s="3">
        <v>162.19999999999999</v>
      </c>
      <c r="T7" s="3">
        <v>151.80000000000001</v>
      </c>
      <c r="U7" s="3">
        <v>160.69999999999999</v>
      </c>
      <c r="V7" s="3">
        <v>160.5</v>
      </c>
      <c r="W7" s="3">
        <v>159.80000000000001</v>
      </c>
      <c r="X7" s="3">
        <v>154.80000000000001</v>
      </c>
      <c r="Y7" s="3">
        <v>166.3</v>
      </c>
      <c r="Z7" s="3">
        <v>150.69999999999999</v>
      </c>
      <c r="AA7" s="3">
        <v>154.9</v>
      </c>
      <c r="AB7" s="3">
        <v>161.69999999999999</v>
      </c>
      <c r="AC7" s="3">
        <v>158.80000000000001</v>
      </c>
      <c r="AD7" s="3">
        <v>157.6</v>
      </c>
      <c r="AE7" s="3">
        <v>161.30000000000001</v>
      </c>
    </row>
    <row r="8" spans="1:31">
      <c r="A8" t="s">
        <v>34</v>
      </c>
      <c r="B8">
        <v>7976</v>
      </c>
      <c r="C8">
        <v>2021</v>
      </c>
      <c r="D8" t="s">
        <v>40</v>
      </c>
      <c r="E8" s="3">
        <v>146.4</v>
      </c>
      <c r="F8" s="3">
        <v>206.8</v>
      </c>
      <c r="G8" s="3">
        <v>182.2</v>
      </c>
      <c r="H8" s="3">
        <v>157.5</v>
      </c>
      <c r="I8" s="3">
        <v>182.1</v>
      </c>
      <c r="J8" s="3">
        <v>163.9</v>
      </c>
      <c r="K8" s="3">
        <v>164.2</v>
      </c>
      <c r="L8" s="3">
        <v>164</v>
      </c>
      <c r="M8" s="3">
        <v>114.5</v>
      </c>
      <c r="N8" s="3">
        <v>168.3</v>
      </c>
      <c r="O8" s="3">
        <v>160.9</v>
      </c>
      <c r="P8" s="3">
        <v>172.2</v>
      </c>
      <c r="Q8" s="3">
        <v>164</v>
      </c>
      <c r="R8" s="3">
        <v>191.2</v>
      </c>
      <c r="S8" s="3">
        <v>162.80000000000001</v>
      </c>
      <c r="T8" s="3">
        <v>153.1</v>
      </c>
      <c r="U8" s="3">
        <v>161.4</v>
      </c>
      <c r="V8" s="3">
        <v>161.5</v>
      </c>
      <c r="W8" s="3">
        <v>160.69999999999999</v>
      </c>
      <c r="X8" s="3">
        <v>155.80000000000001</v>
      </c>
      <c r="Y8" s="3">
        <v>167</v>
      </c>
      <c r="Z8" s="3">
        <v>153.1</v>
      </c>
      <c r="AA8" s="3">
        <v>155.30000000000001</v>
      </c>
      <c r="AB8" s="3">
        <v>163.19999999999999</v>
      </c>
      <c r="AC8" s="3">
        <v>160.1</v>
      </c>
      <c r="AD8" s="3">
        <v>159</v>
      </c>
      <c r="AE8" s="3">
        <v>162.5</v>
      </c>
    </row>
    <row r="9" spans="1:31">
      <c r="A9" t="s">
        <v>34</v>
      </c>
      <c r="B9">
        <v>9075</v>
      </c>
      <c r="C9">
        <v>2021</v>
      </c>
      <c r="D9" t="s">
        <v>41</v>
      </c>
      <c r="E9" s="3">
        <v>146.6</v>
      </c>
      <c r="F9" s="3">
        <v>204</v>
      </c>
      <c r="G9" s="3">
        <v>172.8</v>
      </c>
      <c r="H9" s="3">
        <v>158.4</v>
      </c>
      <c r="I9" s="3">
        <v>188</v>
      </c>
      <c r="J9" s="3">
        <v>156.80000000000001</v>
      </c>
      <c r="K9" s="3">
        <v>162.19999999999999</v>
      </c>
      <c r="L9" s="3">
        <v>164.1</v>
      </c>
      <c r="M9" s="3">
        <v>119.7</v>
      </c>
      <c r="N9" s="3">
        <v>168.8</v>
      </c>
      <c r="O9" s="3">
        <v>162.69999999999999</v>
      </c>
      <c r="P9" s="3">
        <v>173.9</v>
      </c>
      <c r="Q9" s="3">
        <v>164</v>
      </c>
      <c r="R9" s="3">
        <v>192.1</v>
      </c>
      <c r="S9" s="3">
        <v>164.5</v>
      </c>
      <c r="T9" s="3">
        <v>155.30000000000001</v>
      </c>
      <c r="U9" s="3">
        <v>163.19999999999999</v>
      </c>
      <c r="V9" s="3">
        <v>162.1</v>
      </c>
      <c r="W9" s="3">
        <v>162.6</v>
      </c>
      <c r="X9" s="3">
        <v>157.5</v>
      </c>
      <c r="Y9" s="3">
        <v>168.4</v>
      </c>
      <c r="Z9" s="3">
        <v>154</v>
      </c>
      <c r="AA9" s="3">
        <v>157.6</v>
      </c>
      <c r="AB9" s="3">
        <v>163.80000000000001</v>
      </c>
      <c r="AC9" s="3">
        <v>160</v>
      </c>
      <c r="AD9" s="3">
        <v>160</v>
      </c>
      <c r="AE9" s="3">
        <v>163.19999999999999</v>
      </c>
    </row>
    <row r="10" spans="1:31">
      <c r="A10" t="s">
        <v>34</v>
      </c>
      <c r="B10">
        <v>9340</v>
      </c>
      <c r="C10">
        <v>2021</v>
      </c>
      <c r="D10" t="s">
        <v>42</v>
      </c>
      <c r="E10" s="3">
        <v>146.6</v>
      </c>
      <c r="F10" s="3">
        <v>204</v>
      </c>
      <c r="G10" s="3">
        <v>172.8</v>
      </c>
      <c r="H10" s="3">
        <v>158.4</v>
      </c>
      <c r="I10" s="3">
        <v>188</v>
      </c>
      <c r="J10" s="3">
        <v>156.69999999999999</v>
      </c>
      <c r="K10" s="3">
        <v>162.30000000000001</v>
      </c>
      <c r="L10" s="3">
        <v>164.1</v>
      </c>
      <c r="M10" s="3">
        <v>119.7</v>
      </c>
      <c r="N10" s="3">
        <v>168.8</v>
      </c>
      <c r="O10" s="3">
        <v>162.69999999999999</v>
      </c>
      <c r="P10" s="3">
        <v>173.9</v>
      </c>
      <c r="Q10" s="3">
        <v>164</v>
      </c>
      <c r="R10" s="3">
        <v>192.1</v>
      </c>
      <c r="S10" s="3">
        <v>164.6</v>
      </c>
      <c r="T10" s="3">
        <v>155.30000000000001</v>
      </c>
      <c r="U10" s="3">
        <v>163.30000000000001</v>
      </c>
      <c r="V10" s="3">
        <v>162.1</v>
      </c>
      <c r="W10" s="3">
        <v>162.6</v>
      </c>
      <c r="X10" s="3">
        <v>157.5</v>
      </c>
      <c r="Y10" s="3">
        <v>168.4</v>
      </c>
      <c r="Z10" s="3">
        <v>154</v>
      </c>
      <c r="AA10" s="3">
        <v>157.69999999999999</v>
      </c>
      <c r="AB10" s="3">
        <v>163.69999999999999</v>
      </c>
      <c r="AC10" s="3">
        <v>160</v>
      </c>
      <c r="AD10" s="3">
        <v>160</v>
      </c>
      <c r="AE10" s="3">
        <v>163.19999999999999</v>
      </c>
    </row>
    <row r="11" spans="1:31">
      <c r="A11" t="s">
        <v>34</v>
      </c>
      <c r="B11">
        <v>9637</v>
      </c>
      <c r="C11">
        <v>2021</v>
      </c>
      <c r="D11" t="s">
        <v>43</v>
      </c>
      <c r="E11" s="3">
        <v>147.4</v>
      </c>
      <c r="F11" s="3">
        <v>204.6</v>
      </c>
      <c r="G11" s="3">
        <v>171.2</v>
      </c>
      <c r="H11" s="3">
        <v>158.69999999999999</v>
      </c>
      <c r="I11" s="3">
        <v>190.6</v>
      </c>
      <c r="J11" s="3">
        <v>155.69999999999999</v>
      </c>
      <c r="K11" s="3">
        <v>185.3</v>
      </c>
      <c r="L11" s="3">
        <v>165.2</v>
      </c>
      <c r="M11" s="3">
        <v>121.9</v>
      </c>
      <c r="N11" s="3">
        <v>169.3</v>
      </c>
      <c r="O11" s="3">
        <v>163.19999999999999</v>
      </c>
      <c r="P11" s="3">
        <v>174.7</v>
      </c>
      <c r="Q11" s="3">
        <v>167.7</v>
      </c>
      <c r="R11" s="3">
        <v>192.7</v>
      </c>
      <c r="S11" s="3">
        <v>165.7</v>
      </c>
      <c r="T11" s="3">
        <v>156.30000000000001</v>
      </c>
      <c r="U11" s="3">
        <v>164.3</v>
      </c>
      <c r="V11" s="3">
        <v>163.6</v>
      </c>
      <c r="W11" s="3">
        <v>164.2</v>
      </c>
      <c r="X11" s="3">
        <v>158.4</v>
      </c>
      <c r="Y11" s="3">
        <v>169.1</v>
      </c>
      <c r="Z11" s="3">
        <v>155.69999999999999</v>
      </c>
      <c r="AA11" s="3">
        <v>158.6</v>
      </c>
      <c r="AB11" s="3">
        <v>163.9</v>
      </c>
      <c r="AC11" s="3">
        <v>160.80000000000001</v>
      </c>
      <c r="AD11" s="3">
        <v>161</v>
      </c>
      <c r="AE11" s="3">
        <v>165.5</v>
      </c>
    </row>
    <row r="12" spans="1:31">
      <c r="A12" t="s">
        <v>34</v>
      </c>
      <c r="B12">
        <v>10589</v>
      </c>
      <c r="C12">
        <v>2021</v>
      </c>
      <c r="D12" t="s">
        <v>45</v>
      </c>
      <c r="E12" s="3">
        <v>148.19999999999999</v>
      </c>
      <c r="F12" s="3">
        <v>201.6</v>
      </c>
      <c r="G12" s="3">
        <v>173</v>
      </c>
      <c r="H12" s="3">
        <v>159.30000000000001</v>
      </c>
      <c r="I12" s="3">
        <v>190.1</v>
      </c>
      <c r="J12" s="3">
        <v>156.5</v>
      </c>
      <c r="K12" s="3">
        <v>199.2</v>
      </c>
      <c r="L12" s="3">
        <v>165.3</v>
      </c>
      <c r="M12" s="3">
        <v>122.4</v>
      </c>
      <c r="N12" s="3">
        <v>169.6</v>
      </c>
      <c r="O12" s="3">
        <v>163.69999999999999</v>
      </c>
      <c r="P12" s="3">
        <v>175.5</v>
      </c>
      <c r="Q12" s="3">
        <v>169.7</v>
      </c>
      <c r="R12" s="3">
        <v>192.9</v>
      </c>
      <c r="S12" s="3">
        <v>167.2</v>
      </c>
      <c r="T12" s="3">
        <v>157.4</v>
      </c>
      <c r="U12" s="3">
        <v>165.8</v>
      </c>
      <c r="V12" s="3">
        <v>164.2</v>
      </c>
      <c r="W12" s="3">
        <v>163.9</v>
      </c>
      <c r="X12" s="3">
        <v>159.30000000000001</v>
      </c>
      <c r="Y12" s="3">
        <v>169.9</v>
      </c>
      <c r="Z12" s="3">
        <v>154.80000000000001</v>
      </c>
      <c r="AA12" s="3">
        <v>159.80000000000001</v>
      </c>
      <c r="AB12" s="3">
        <v>164.3</v>
      </c>
      <c r="AC12" s="3">
        <v>162.19999999999999</v>
      </c>
      <c r="AD12" s="3">
        <v>161.4</v>
      </c>
      <c r="AE12" s="3">
        <v>166.7</v>
      </c>
    </row>
    <row r="13" spans="1:31">
      <c r="A13" t="s">
        <v>34</v>
      </c>
      <c r="B13">
        <v>10887</v>
      </c>
      <c r="C13">
        <v>2021</v>
      </c>
      <c r="D13" t="s">
        <v>46</v>
      </c>
      <c r="E13" s="3">
        <v>148.69999999999999</v>
      </c>
      <c r="F13" s="3">
        <v>198.8</v>
      </c>
      <c r="G13" s="3">
        <v>177.9</v>
      </c>
      <c r="H13" s="3">
        <v>159.9</v>
      </c>
      <c r="I13" s="3">
        <v>187.6</v>
      </c>
      <c r="J13" s="3">
        <v>154.9</v>
      </c>
      <c r="K13" s="3">
        <v>188.3</v>
      </c>
      <c r="L13" s="3">
        <v>164.4</v>
      </c>
      <c r="M13" s="3">
        <v>121</v>
      </c>
      <c r="N13" s="3">
        <v>170.5</v>
      </c>
      <c r="O13" s="3">
        <v>164.2</v>
      </c>
      <c r="P13" s="3">
        <v>176.5</v>
      </c>
      <c r="Q13" s="3">
        <v>168.2</v>
      </c>
      <c r="R13" s="3">
        <v>192.4</v>
      </c>
      <c r="S13" s="3">
        <v>168.5</v>
      </c>
      <c r="T13" s="3">
        <v>158.69999999999999</v>
      </c>
      <c r="U13" s="3">
        <v>167</v>
      </c>
      <c r="V13" s="3">
        <v>163.4</v>
      </c>
      <c r="W13" s="3">
        <v>164.1</v>
      </c>
      <c r="X13" s="3">
        <v>160.19999999999999</v>
      </c>
      <c r="Y13" s="3">
        <v>170.6</v>
      </c>
      <c r="Z13" s="3">
        <v>155.69999999999999</v>
      </c>
      <c r="AA13" s="3">
        <v>160.6</v>
      </c>
      <c r="AB13" s="3">
        <v>164.4</v>
      </c>
      <c r="AC13" s="3">
        <v>162.6</v>
      </c>
      <c r="AD13" s="3">
        <v>162</v>
      </c>
      <c r="AE13" s="3">
        <v>166.2</v>
      </c>
    </row>
    <row r="14" spans="1:31">
      <c r="A14" t="s">
        <v>34</v>
      </c>
      <c r="B14">
        <v>11573</v>
      </c>
      <c r="C14">
        <v>2022</v>
      </c>
      <c r="D14" t="s">
        <v>31</v>
      </c>
      <c r="E14" s="3">
        <v>149.5</v>
      </c>
      <c r="F14" s="3">
        <v>198.7</v>
      </c>
      <c r="G14" s="3">
        <v>178.8</v>
      </c>
      <c r="H14" s="3">
        <v>160.5</v>
      </c>
      <c r="I14" s="3">
        <v>184.7</v>
      </c>
      <c r="J14" s="3">
        <v>153.69999999999999</v>
      </c>
      <c r="K14" s="3">
        <v>174.3</v>
      </c>
      <c r="L14" s="3">
        <v>163.9</v>
      </c>
      <c r="M14" s="3">
        <v>120</v>
      </c>
      <c r="N14" s="3">
        <v>172.1</v>
      </c>
      <c r="O14" s="3">
        <v>164.3</v>
      </c>
      <c r="P14" s="3">
        <v>177.3</v>
      </c>
      <c r="Q14" s="3">
        <v>166.4</v>
      </c>
      <c r="R14" s="3">
        <v>192.2</v>
      </c>
      <c r="S14" s="3">
        <v>169.9</v>
      </c>
      <c r="T14" s="3">
        <v>160.69999999999999</v>
      </c>
      <c r="U14" s="3">
        <v>168.5</v>
      </c>
      <c r="V14" s="3">
        <v>164.5</v>
      </c>
      <c r="W14" s="3">
        <v>164.2</v>
      </c>
      <c r="X14" s="3">
        <v>161.1</v>
      </c>
      <c r="Y14" s="3">
        <v>171.4</v>
      </c>
      <c r="Z14" s="3">
        <v>156.5</v>
      </c>
      <c r="AA14" s="3">
        <v>161.19999999999999</v>
      </c>
      <c r="AB14" s="3">
        <v>164.7</v>
      </c>
      <c r="AC14" s="3">
        <v>163</v>
      </c>
      <c r="AD14" s="3">
        <v>162.69999999999999</v>
      </c>
      <c r="AE14" s="3">
        <v>165.7</v>
      </c>
    </row>
    <row r="15" spans="1:31">
      <c r="A15" t="s">
        <v>34</v>
      </c>
      <c r="B15">
        <v>11619</v>
      </c>
      <c r="C15">
        <v>2022</v>
      </c>
      <c r="D15" t="s">
        <v>35</v>
      </c>
      <c r="E15" s="3">
        <v>150</v>
      </c>
      <c r="F15" s="3">
        <v>200.6</v>
      </c>
      <c r="G15" s="3">
        <v>175.8</v>
      </c>
      <c r="H15" s="3">
        <v>160.69999999999999</v>
      </c>
      <c r="I15" s="3">
        <v>184.9</v>
      </c>
      <c r="J15" s="3">
        <v>153.69999999999999</v>
      </c>
      <c r="K15" s="3">
        <v>169.7</v>
      </c>
      <c r="L15" s="3">
        <v>163.69999999999999</v>
      </c>
      <c r="M15" s="3">
        <v>118.9</v>
      </c>
      <c r="N15" s="3">
        <v>174.3</v>
      </c>
      <c r="O15" s="3">
        <v>164.7</v>
      </c>
      <c r="P15" s="3">
        <v>178</v>
      </c>
      <c r="Q15" s="3">
        <v>166.2</v>
      </c>
      <c r="R15" s="3">
        <v>192.8</v>
      </c>
      <c r="S15" s="3">
        <v>170.8</v>
      </c>
      <c r="T15" s="3">
        <v>162.4</v>
      </c>
      <c r="U15" s="3">
        <v>169.6</v>
      </c>
      <c r="V15" s="3">
        <v>165.5</v>
      </c>
      <c r="W15" s="3">
        <v>165.7</v>
      </c>
      <c r="X15" s="3">
        <v>161.80000000000001</v>
      </c>
      <c r="Y15" s="3">
        <v>172.2</v>
      </c>
      <c r="Z15" s="3">
        <v>156.9</v>
      </c>
      <c r="AA15" s="3">
        <v>162.1</v>
      </c>
      <c r="AB15" s="3">
        <v>165.4</v>
      </c>
      <c r="AC15" s="3">
        <v>164.4</v>
      </c>
      <c r="AD15" s="3">
        <v>163.5</v>
      </c>
      <c r="AE15" s="3">
        <v>166.1</v>
      </c>
    </row>
    <row r="16" spans="1:31">
      <c r="A16" t="s">
        <v>34</v>
      </c>
      <c r="B16">
        <v>14874</v>
      </c>
      <c r="C16">
        <v>2022</v>
      </c>
      <c r="D16" t="s">
        <v>36</v>
      </c>
      <c r="E16" s="3">
        <v>151.30000000000001</v>
      </c>
      <c r="F16" s="3">
        <v>210.7</v>
      </c>
      <c r="G16" s="3">
        <v>167.8</v>
      </c>
      <c r="H16" s="3">
        <v>162.19999999999999</v>
      </c>
      <c r="I16" s="3">
        <v>194.6</v>
      </c>
      <c r="J16" s="3">
        <v>157.6</v>
      </c>
      <c r="K16" s="3">
        <v>166.9</v>
      </c>
      <c r="L16" s="3">
        <v>163.9</v>
      </c>
      <c r="M16" s="3">
        <v>118.8</v>
      </c>
      <c r="N16" s="3">
        <v>177.4</v>
      </c>
      <c r="O16" s="3">
        <v>165.3</v>
      </c>
      <c r="P16" s="3">
        <v>179.3</v>
      </c>
      <c r="Q16" s="3">
        <v>168.4</v>
      </c>
      <c r="R16" s="3">
        <v>193.7</v>
      </c>
      <c r="S16" s="3">
        <v>172.1</v>
      </c>
      <c r="T16" s="3">
        <v>164.6</v>
      </c>
      <c r="U16" s="3">
        <v>171.1</v>
      </c>
      <c r="V16" s="3">
        <v>165.3</v>
      </c>
      <c r="W16" s="3">
        <v>167.2</v>
      </c>
      <c r="X16" s="3">
        <v>162.80000000000001</v>
      </c>
      <c r="Y16" s="3">
        <v>173</v>
      </c>
      <c r="Z16" s="3">
        <v>157.9</v>
      </c>
      <c r="AA16" s="3">
        <v>163.30000000000001</v>
      </c>
      <c r="AB16" s="3">
        <v>166</v>
      </c>
      <c r="AC16" s="3">
        <v>167.2</v>
      </c>
      <c r="AD16" s="3">
        <v>164.6</v>
      </c>
      <c r="AE16" s="3">
        <v>167.7</v>
      </c>
    </row>
    <row r="17" spans="1:31">
      <c r="A17" t="s">
        <v>34</v>
      </c>
      <c r="B17">
        <v>16815</v>
      </c>
      <c r="C17">
        <v>2022</v>
      </c>
      <c r="D17" t="s">
        <v>37</v>
      </c>
      <c r="E17" s="3">
        <v>152.9</v>
      </c>
      <c r="F17" s="3">
        <v>211.8</v>
      </c>
      <c r="G17" s="3">
        <v>164.5</v>
      </c>
      <c r="H17" s="3">
        <v>163.9</v>
      </c>
      <c r="I17" s="3">
        <v>199.5</v>
      </c>
      <c r="J17" s="3">
        <v>172.6</v>
      </c>
      <c r="K17" s="3">
        <v>166.2</v>
      </c>
      <c r="L17" s="3">
        <v>164.7</v>
      </c>
      <c r="M17" s="3">
        <v>119</v>
      </c>
      <c r="N17" s="3">
        <v>181.3</v>
      </c>
      <c r="O17" s="3">
        <v>166.2</v>
      </c>
      <c r="P17" s="3">
        <v>180.9</v>
      </c>
      <c r="Q17" s="3">
        <v>170.8</v>
      </c>
      <c r="R17" s="3">
        <v>193.9</v>
      </c>
      <c r="S17" s="3">
        <v>173.9</v>
      </c>
      <c r="T17" s="3">
        <v>166.5</v>
      </c>
      <c r="U17" s="3">
        <v>172.8</v>
      </c>
      <c r="V17" s="3">
        <v>167</v>
      </c>
      <c r="W17" s="3">
        <v>172.2</v>
      </c>
      <c r="X17" s="3">
        <v>164</v>
      </c>
      <c r="Y17" s="3">
        <v>174</v>
      </c>
      <c r="Z17" s="3">
        <v>162.6</v>
      </c>
      <c r="AA17" s="3">
        <v>164.4</v>
      </c>
      <c r="AB17" s="3">
        <v>166.9</v>
      </c>
      <c r="AC17" s="3">
        <v>168.8</v>
      </c>
      <c r="AD17" s="3">
        <v>166.8</v>
      </c>
      <c r="AE17" s="3">
        <v>170.1</v>
      </c>
    </row>
    <row r="18" spans="1:31">
      <c r="A18" t="s">
        <v>34</v>
      </c>
      <c r="B18">
        <v>15469</v>
      </c>
      <c r="C18">
        <v>2022</v>
      </c>
      <c r="D18" t="s">
        <v>38</v>
      </c>
      <c r="E18" s="3">
        <v>154.1</v>
      </c>
      <c r="F18" s="3">
        <v>217</v>
      </c>
      <c r="G18" s="3">
        <v>162.4</v>
      </c>
      <c r="H18" s="3">
        <v>164.9</v>
      </c>
      <c r="I18" s="3">
        <v>202.4</v>
      </c>
      <c r="J18" s="3">
        <v>171</v>
      </c>
      <c r="K18" s="3">
        <v>174.9</v>
      </c>
      <c r="L18" s="3">
        <v>164.7</v>
      </c>
      <c r="M18" s="3">
        <v>119.7</v>
      </c>
      <c r="N18" s="3">
        <v>184.9</v>
      </c>
      <c r="O18" s="3">
        <v>167.1</v>
      </c>
      <c r="P18" s="3">
        <v>182.5</v>
      </c>
      <c r="Q18" s="3">
        <v>173.3</v>
      </c>
      <c r="R18" s="3">
        <v>194.1</v>
      </c>
      <c r="S18" s="3">
        <v>175.6</v>
      </c>
      <c r="T18" s="3">
        <v>168.4</v>
      </c>
      <c r="U18" s="3">
        <v>174.6</v>
      </c>
      <c r="V18" s="3">
        <v>167.5</v>
      </c>
      <c r="W18" s="3">
        <v>174.6</v>
      </c>
      <c r="X18" s="3">
        <v>165.2</v>
      </c>
      <c r="Y18" s="3">
        <v>174.8</v>
      </c>
      <c r="Z18" s="3">
        <v>163</v>
      </c>
      <c r="AA18" s="3">
        <v>165.1</v>
      </c>
      <c r="AB18" s="3">
        <v>167.9</v>
      </c>
      <c r="AC18" s="3">
        <v>168.4</v>
      </c>
      <c r="AD18" s="3">
        <v>167.5</v>
      </c>
      <c r="AE18" s="3">
        <v>171.7</v>
      </c>
    </row>
    <row r="19" spans="1:31">
      <c r="A19" t="s">
        <v>34</v>
      </c>
      <c r="B19">
        <v>15597</v>
      </c>
      <c r="C19">
        <v>2022</v>
      </c>
      <c r="D19" t="s">
        <v>39</v>
      </c>
      <c r="E19" s="3">
        <v>155</v>
      </c>
      <c r="F19" s="3">
        <v>219.4</v>
      </c>
      <c r="G19" s="3">
        <v>170.8</v>
      </c>
      <c r="H19" s="3">
        <v>165.8</v>
      </c>
      <c r="I19" s="3">
        <v>200.9</v>
      </c>
      <c r="J19" s="3">
        <v>169.7</v>
      </c>
      <c r="K19" s="3">
        <v>182.3</v>
      </c>
      <c r="L19" s="3">
        <v>164.3</v>
      </c>
      <c r="M19" s="3">
        <v>119.9</v>
      </c>
      <c r="N19" s="3">
        <v>187.1</v>
      </c>
      <c r="O19" s="3">
        <v>167.9</v>
      </c>
      <c r="P19" s="3">
        <v>183.9</v>
      </c>
      <c r="Q19" s="3">
        <v>174.9</v>
      </c>
      <c r="R19" s="3">
        <v>194.3</v>
      </c>
      <c r="S19" s="3">
        <v>177.1</v>
      </c>
      <c r="T19" s="3">
        <v>169.9</v>
      </c>
      <c r="U19" s="3">
        <v>176</v>
      </c>
      <c r="V19" s="3">
        <v>166.8</v>
      </c>
      <c r="W19" s="3">
        <v>176</v>
      </c>
      <c r="X19" s="3">
        <v>166.4</v>
      </c>
      <c r="Y19" s="3">
        <v>175.4</v>
      </c>
      <c r="Z19" s="3">
        <v>161.1</v>
      </c>
      <c r="AA19" s="3">
        <v>165.8</v>
      </c>
      <c r="AB19" s="3">
        <v>169</v>
      </c>
      <c r="AC19" s="3">
        <v>169.4</v>
      </c>
      <c r="AD19" s="3">
        <v>167.5</v>
      </c>
      <c r="AE19" s="3">
        <v>172.6</v>
      </c>
    </row>
    <row r="20" spans="1:31">
      <c r="A20" t="s">
        <v>34</v>
      </c>
      <c r="B20">
        <v>16265</v>
      </c>
      <c r="C20">
        <v>2022</v>
      </c>
      <c r="D20" t="s">
        <v>40</v>
      </c>
      <c r="E20" s="3">
        <v>156.5</v>
      </c>
      <c r="F20" s="3">
        <v>213</v>
      </c>
      <c r="G20" s="3">
        <v>175.2</v>
      </c>
      <c r="H20" s="3">
        <v>166.6</v>
      </c>
      <c r="I20" s="3">
        <v>195.8</v>
      </c>
      <c r="J20" s="3">
        <v>174.2</v>
      </c>
      <c r="K20" s="3">
        <v>182.1</v>
      </c>
      <c r="L20" s="3">
        <v>164.3</v>
      </c>
      <c r="M20" s="3">
        <v>120</v>
      </c>
      <c r="N20" s="3">
        <v>190</v>
      </c>
      <c r="O20" s="3">
        <v>168.4</v>
      </c>
      <c r="P20" s="3">
        <v>185.2</v>
      </c>
      <c r="Q20" s="3">
        <v>175</v>
      </c>
      <c r="R20" s="3">
        <v>194.6</v>
      </c>
      <c r="S20" s="3">
        <v>178.3</v>
      </c>
      <c r="T20" s="3">
        <v>171.3</v>
      </c>
      <c r="U20" s="3">
        <v>177.3</v>
      </c>
      <c r="V20" s="3">
        <v>167.8</v>
      </c>
      <c r="W20" s="3">
        <v>179.6</v>
      </c>
      <c r="X20" s="3">
        <v>167.4</v>
      </c>
      <c r="Y20" s="3">
        <v>176.1</v>
      </c>
      <c r="Z20" s="3">
        <v>161.6</v>
      </c>
      <c r="AA20" s="3">
        <v>166.3</v>
      </c>
      <c r="AB20" s="3">
        <v>171.4</v>
      </c>
      <c r="AC20" s="3">
        <v>169.7</v>
      </c>
      <c r="AD20" s="3">
        <v>168.4</v>
      </c>
      <c r="AE20" s="3">
        <v>173.4</v>
      </c>
    </row>
    <row r="21" spans="1:31">
      <c r="A21" t="s">
        <v>34</v>
      </c>
      <c r="B21">
        <v>13107</v>
      </c>
      <c r="C21">
        <v>2022</v>
      </c>
      <c r="D21" t="s">
        <v>41</v>
      </c>
      <c r="E21" s="3">
        <v>160.30000000000001</v>
      </c>
      <c r="F21" s="3">
        <v>206.5</v>
      </c>
      <c r="G21" s="3">
        <v>169.2</v>
      </c>
      <c r="H21" s="3">
        <v>168.1</v>
      </c>
      <c r="I21" s="3">
        <v>192.4</v>
      </c>
      <c r="J21" s="3">
        <v>172.9</v>
      </c>
      <c r="K21" s="3">
        <v>186.7</v>
      </c>
      <c r="L21" s="3">
        <v>167.2</v>
      </c>
      <c r="M21" s="3">
        <v>120.9</v>
      </c>
      <c r="N21" s="3">
        <v>193.6</v>
      </c>
      <c r="O21" s="3">
        <v>168.8</v>
      </c>
      <c r="P21" s="3">
        <v>186.3</v>
      </c>
      <c r="Q21" s="3">
        <v>176.3</v>
      </c>
      <c r="R21" s="3">
        <v>195</v>
      </c>
      <c r="S21" s="3">
        <v>179.5</v>
      </c>
      <c r="T21" s="3">
        <v>172.7</v>
      </c>
      <c r="U21" s="3">
        <v>178.5</v>
      </c>
      <c r="V21" s="3">
        <v>169</v>
      </c>
      <c r="W21" s="3">
        <v>178.8</v>
      </c>
      <c r="X21" s="3">
        <v>168.5</v>
      </c>
      <c r="Y21" s="3">
        <v>176.8</v>
      </c>
      <c r="Z21" s="3">
        <v>161.9</v>
      </c>
      <c r="AA21" s="3">
        <v>166.9</v>
      </c>
      <c r="AB21" s="3">
        <v>172.3</v>
      </c>
      <c r="AC21" s="3">
        <v>171.2</v>
      </c>
      <c r="AD21" s="3">
        <v>169.1</v>
      </c>
      <c r="AE21" s="3">
        <v>174.3</v>
      </c>
    </row>
    <row r="22" spans="1:31">
      <c r="A22" t="s">
        <v>34</v>
      </c>
      <c r="B22">
        <v>11827</v>
      </c>
      <c r="C22">
        <v>2022</v>
      </c>
      <c r="D22" t="s">
        <v>42</v>
      </c>
      <c r="E22" s="3">
        <v>163.5</v>
      </c>
      <c r="F22" s="3">
        <v>209.2</v>
      </c>
      <c r="G22" s="3">
        <v>169.7</v>
      </c>
      <c r="H22" s="3">
        <v>169.7</v>
      </c>
      <c r="I22" s="3">
        <v>188.7</v>
      </c>
      <c r="J22" s="3">
        <v>165.7</v>
      </c>
      <c r="K22" s="3">
        <v>191.8</v>
      </c>
      <c r="L22" s="3">
        <v>169.1</v>
      </c>
      <c r="M22" s="3">
        <v>121.6</v>
      </c>
      <c r="N22" s="3">
        <v>197.3</v>
      </c>
      <c r="O22" s="3">
        <v>169.4</v>
      </c>
      <c r="P22" s="3">
        <v>187.4</v>
      </c>
      <c r="Q22" s="3">
        <v>177.8</v>
      </c>
      <c r="R22" s="3">
        <v>195.9</v>
      </c>
      <c r="S22" s="3">
        <v>180.9</v>
      </c>
      <c r="T22" s="3">
        <v>174.3</v>
      </c>
      <c r="U22" s="3">
        <v>179.9</v>
      </c>
      <c r="V22" s="3">
        <v>169.5</v>
      </c>
      <c r="W22" s="3">
        <v>179.5</v>
      </c>
      <c r="X22" s="3">
        <v>169.5</v>
      </c>
      <c r="Y22" s="3">
        <v>177.8</v>
      </c>
      <c r="Z22" s="3">
        <v>162.30000000000001</v>
      </c>
      <c r="AA22" s="3">
        <v>167.6</v>
      </c>
      <c r="AB22" s="3">
        <v>173.1</v>
      </c>
      <c r="AC22" s="3">
        <v>170.9</v>
      </c>
      <c r="AD22" s="3">
        <v>169.7</v>
      </c>
      <c r="AE22" s="3">
        <v>175.3</v>
      </c>
    </row>
    <row r="23" spans="1:31">
      <c r="A23" t="s">
        <v>34</v>
      </c>
      <c r="B23">
        <v>12087</v>
      </c>
      <c r="C23">
        <v>2022</v>
      </c>
      <c r="D23" t="s">
        <v>43</v>
      </c>
      <c r="E23" s="3">
        <v>165.2</v>
      </c>
      <c r="F23" s="3">
        <v>210.9</v>
      </c>
      <c r="G23" s="3">
        <v>170.9</v>
      </c>
      <c r="H23" s="3">
        <v>170.9</v>
      </c>
      <c r="I23" s="3">
        <v>186.5</v>
      </c>
      <c r="J23" s="3">
        <v>163.80000000000001</v>
      </c>
      <c r="K23" s="3">
        <v>199.7</v>
      </c>
      <c r="L23" s="3">
        <v>169.8</v>
      </c>
      <c r="M23" s="3">
        <v>121.9</v>
      </c>
      <c r="N23" s="3">
        <v>199.9</v>
      </c>
      <c r="O23" s="3">
        <v>169.9</v>
      </c>
      <c r="P23" s="3">
        <v>188.3</v>
      </c>
      <c r="Q23" s="3">
        <v>179.6</v>
      </c>
      <c r="R23" s="3">
        <v>196.3</v>
      </c>
      <c r="S23" s="3">
        <v>181.9</v>
      </c>
      <c r="T23" s="3">
        <v>175.3</v>
      </c>
      <c r="U23" s="3">
        <v>181</v>
      </c>
      <c r="V23" s="3">
        <v>171.2</v>
      </c>
      <c r="W23" s="3">
        <v>180.5</v>
      </c>
      <c r="X23" s="3">
        <v>170.4</v>
      </c>
      <c r="Y23" s="3">
        <v>178.7</v>
      </c>
      <c r="Z23" s="3">
        <v>162.9</v>
      </c>
      <c r="AA23" s="3">
        <v>168.2</v>
      </c>
      <c r="AB23" s="3">
        <v>173.4</v>
      </c>
      <c r="AC23" s="3">
        <v>172.1</v>
      </c>
      <c r="AD23" s="3">
        <v>170.5</v>
      </c>
      <c r="AE23" s="3">
        <v>176.7</v>
      </c>
    </row>
    <row r="24" spans="1:31">
      <c r="A24" t="s">
        <v>34</v>
      </c>
      <c r="B24">
        <v>12253</v>
      </c>
      <c r="C24">
        <v>2022</v>
      </c>
      <c r="D24" t="s">
        <v>45</v>
      </c>
      <c r="E24" s="3">
        <v>167.4</v>
      </c>
      <c r="F24" s="3">
        <v>209.4</v>
      </c>
      <c r="G24" s="3">
        <v>181.4</v>
      </c>
      <c r="H24" s="3">
        <v>172.3</v>
      </c>
      <c r="I24" s="3">
        <v>188.9</v>
      </c>
      <c r="J24" s="3">
        <v>160.69999999999999</v>
      </c>
      <c r="K24" s="3">
        <v>183.1</v>
      </c>
      <c r="L24" s="3">
        <v>170.5</v>
      </c>
      <c r="M24" s="3">
        <v>122.1</v>
      </c>
      <c r="N24" s="3">
        <v>202.8</v>
      </c>
      <c r="O24" s="3">
        <v>170.4</v>
      </c>
      <c r="P24" s="3">
        <v>189.5</v>
      </c>
      <c r="Q24" s="3">
        <v>178.3</v>
      </c>
      <c r="R24" s="3">
        <v>196.9</v>
      </c>
      <c r="S24" s="3">
        <v>183.1</v>
      </c>
      <c r="T24" s="3">
        <v>176.2</v>
      </c>
      <c r="U24" s="3">
        <v>182.1</v>
      </c>
      <c r="V24" s="3">
        <v>171.8</v>
      </c>
      <c r="W24" s="3">
        <v>181.3</v>
      </c>
      <c r="X24" s="3">
        <v>171.4</v>
      </c>
      <c r="Y24" s="3">
        <v>179.8</v>
      </c>
      <c r="Z24" s="3">
        <v>163</v>
      </c>
      <c r="AA24" s="3">
        <v>168.5</v>
      </c>
      <c r="AB24" s="3">
        <v>173.7</v>
      </c>
      <c r="AC24" s="3">
        <v>173.6</v>
      </c>
      <c r="AD24" s="3">
        <v>171.1</v>
      </c>
      <c r="AE24" s="3">
        <v>176.5</v>
      </c>
    </row>
    <row r="25" spans="1:31">
      <c r="A25" t="s">
        <v>34</v>
      </c>
      <c r="B25">
        <v>11445</v>
      </c>
      <c r="C25">
        <v>2022</v>
      </c>
      <c r="D25" t="s">
        <v>46</v>
      </c>
      <c r="E25" s="3">
        <v>169.2</v>
      </c>
      <c r="F25" s="3">
        <v>209</v>
      </c>
      <c r="G25" s="3">
        <v>190.2</v>
      </c>
      <c r="H25" s="3">
        <v>173.6</v>
      </c>
      <c r="I25" s="3">
        <v>188.5</v>
      </c>
      <c r="J25" s="3">
        <v>158</v>
      </c>
      <c r="K25" s="3">
        <v>159.9</v>
      </c>
      <c r="L25" s="3">
        <v>170.8</v>
      </c>
      <c r="M25" s="3">
        <v>121.8</v>
      </c>
      <c r="N25" s="3">
        <v>205.2</v>
      </c>
      <c r="O25" s="3">
        <v>171</v>
      </c>
      <c r="P25" s="3">
        <v>190.3</v>
      </c>
      <c r="Q25" s="3">
        <v>175.9</v>
      </c>
      <c r="R25" s="3">
        <v>197.3</v>
      </c>
      <c r="S25" s="3">
        <v>184</v>
      </c>
      <c r="T25" s="3">
        <v>177</v>
      </c>
      <c r="U25" s="3">
        <v>183</v>
      </c>
      <c r="V25" s="3">
        <v>170.7</v>
      </c>
      <c r="W25" s="3">
        <v>182</v>
      </c>
      <c r="X25" s="3">
        <v>172.1</v>
      </c>
      <c r="Y25" s="3">
        <v>181.1</v>
      </c>
      <c r="Z25" s="3">
        <v>163.4</v>
      </c>
      <c r="AA25" s="3">
        <v>168.9</v>
      </c>
      <c r="AB25" s="3">
        <v>174.1</v>
      </c>
      <c r="AC25" s="3">
        <v>175.8</v>
      </c>
      <c r="AD25" s="3">
        <v>172</v>
      </c>
      <c r="AE25" s="3">
        <v>175.7</v>
      </c>
    </row>
    <row r="26" spans="1:31">
      <c r="A26" t="s">
        <v>34</v>
      </c>
      <c r="B26">
        <v>11351</v>
      </c>
      <c r="C26">
        <v>2023</v>
      </c>
      <c r="D26" t="s">
        <v>31</v>
      </c>
      <c r="E26" s="3">
        <v>173.8</v>
      </c>
      <c r="F26" s="3">
        <v>210.7</v>
      </c>
      <c r="G26" s="3">
        <v>194.5</v>
      </c>
      <c r="H26" s="3">
        <v>174.6</v>
      </c>
      <c r="I26" s="3">
        <v>187.2</v>
      </c>
      <c r="J26" s="3">
        <v>158.30000000000001</v>
      </c>
      <c r="K26" s="3">
        <v>153.9</v>
      </c>
      <c r="L26" s="3">
        <v>170.9</v>
      </c>
      <c r="M26" s="3">
        <v>121.1</v>
      </c>
      <c r="N26" s="3">
        <v>208.4</v>
      </c>
      <c r="O26" s="3">
        <v>171.4</v>
      </c>
      <c r="P26" s="3">
        <v>191.2</v>
      </c>
      <c r="Q26" s="3">
        <v>176.7</v>
      </c>
      <c r="R26" s="3">
        <v>198.2</v>
      </c>
      <c r="S26" s="3">
        <v>184.9</v>
      </c>
      <c r="T26" s="3">
        <v>177.6</v>
      </c>
      <c r="U26" s="3">
        <v>183.8</v>
      </c>
      <c r="V26" s="3">
        <v>172.1</v>
      </c>
      <c r="W26" s="3">
        <v>182</v>
      </c>
      <c r="X26" s="3">
        <v>172.9</v>
      </c>
      <c r="Y26" s="3">
        <v>182.3</v>
      </c>
      <c r="Z26" s="3">
        <v>163.6</v>
      </c>
      <c r="AA26" s="3">
        <v>169.5</v>
      </c>
      <c r="AB26" s="3">
        <v>174.3</v>
      </c>
      <c r="AC26" s="3">
        <v>178.6</v>
      </c>
      <c r="AD26" s="3">
        <v>172.8</v>
      </c>
      <c r="AE26" s="3">
        <v>176.5</v>
      </c>
    </row>
    <row r="27" spans="1:31">
      <c r="A27" t="s">
        <v>34</v>
      </c>
      <c r="B27">
        <v>10421</v>
      </c>
      <c r="C27">
        <v>2023</v>
      </c>
      <c r="D27" t="s">
        <v>35</v>
      </c>
      <c r="E27" s="3">
        <v>174.4</v>
      </c>
      <c r="F27" s="3">
        <v>207.7</v>
      </c>
      <c r="G27" s="3">
        <v>175.2</v>
      </c>
      <c r="H27" s="3">
        <v>177.3</v>
      </c>
      <c r="I27" s="3">
        <v>179.3</v>
      </c>
      <c r="J27" s="3">
        <v>169.5</v>
      </c>
      <c r="K27" s="3">
        <v>152.69999999999999</v>
      </c>
      <c r="L27" s="3">
        <v>171</v>
      </c>
      <c r="M27" s="3">
        <v>120</v>
      </c>
      <c r="N27" s="3">
        <v>209.7</v>
      </c>
      <c r="O27" s="3">
        <v>172.3</v>
      </c>
      <c r="P27" s="3">
        <v>193</v>
      </c>
      <c r="Q27" s="3">
        <v>177</v>
      </c>
      <c r="R27" s="3">
        <v>199.5</v>
      </c>
      <c r="S27" s="3">
        <v>186.2</v>
      </c>
      <c r="T27" s="3">
        <v>178.7</v>
      </c>
      <c r="U27" s="3">
        <v>185.1</v>
      </c>
      <c r="V27" s="3">
        <v>173.5</v>
      </c>
      <c r="W27" s="3">
        <v>182.1</v>
      </c>
      <c r="X27" s="3">
        <v>174.2</v>
      </c>
      <c r="Y27" s="3">
        <v>184.4</v>
      </c>
      <c r="Z27" s="3">
        <v>164.2</v>
      </c>
      <c r="AA27" s="3">
        <v>170.3</v>
      </c>
      <c r="AB27" s="3">
        <v>175</v>
      </c>
      <c r="AC27" s="3">
        <v>181</v>
      </c>
      <c r="AD27" s="3">
        <v>174.1</v>
      </c>
      <c r="AE27" s="3">
        <v>177.2</v>
      </c>
    </row>
    <row r="28" spans="1:31">
      <c r="A28" t="s">
        <v>34</v>
      </c>
      <c r="B28">
        <v>10895</v>
      </c>
      <c r="C28">
        <v>2023</v>
      </c>
      <c r="D28" t="s">
        <v>36</v>
      </c>
      <c r="E28" s="3">
        <v>174.4</v>
      </c>
      <c r="F28" s="3">
        <v>207.7</v>
      </c>
      <c r="G28" s="3">
        <v>175.2</v>
      </c>
      <c r="H28" s="3">
        <v>177.3</v>
      </c>
      <c r="I28" s="3">
        <v>179.2</v>
      </c>
      <c r="J28" s="3">
        <v>169.5</v>
      </c>
      <c r="K28" s="3">
        <v>152.80000000000001</v>
      </c>
      <c r="L28" s="3">
        <v>171.1</v>
      </c>
      <c r="M28" s="3">
        <v>120</v>
      </c>
      <c r="N28" s="3">
        <v>209.7</v>
      </c>
      <c r="O28" s="3">
        <v>172.3</v>
      </c>
      <c r="P28" s="3">
        <v>193</v>
      </c>
      <c r="Q28" s="3">
        <v>177</v>
      </c>
      <c r="R28" s="3">
        <v>199.5</v>
      </c>
      <c r="S28" s="3">
        <v>186.1</v>
      </c>
      <c r="T28" s="3">
        <v>178.7</v>
      </c>
      <c r="U28" s="3">
        <v>185.1</v>
      </c>
      <c r="V28" s="3">
        <v>173.5</v>
      </c>
      <c r="W28" s="3">
        <v>181.9</v>
      </c>
      <c r="X28" s="3">
        <v>174.2</v>
      </c>
      <c r="Y28" s="3">
        <v>184.4</v>
      </c>
      <c r="Z28" s="3">
        <v>164.2</v>
      </c>
      <c r="AA28" s="3">
        <v>170.3</v>
      </c>
      <c r="AB28" s="3">
        <v>175</v>
      </c>
      <c r="AC28" s="3">
        <v>181</v>
      </c>
      <c r="AD28" s="3">
        <v>174.1</v>
      </c>
      <c r="AE28" s="3">
        <v>177.2</v>
      </c>
    </row>
    <row r="29" spans="1:31">
      <c r="A29" t="s">
        <v>34</v>
      </c>
      <c r="B29">
        <v>10852</v>
      </c>
      <c r="C29">
        <v>2023</v>
      </c>
      <c r="D29" t="s">
        <v>37</v>
      </c>
      <c r="E29" s="3">
        <v>173.8</v>
      </c>
      <c r="F29" s="3">
        <v>209.3</v>
      </c>
      <c r="G29" s="3">
        <v>169.6</v>
      </c>
      <c r="H29" s="3">
        <v>178.4</v>
      </c>
      <c r="I29" s="3">
        <v>174.9</v>
      </c>
      <c r="J29" s="3">
        <v>176.3</v>
      </c>
      <c r="K29" s="3">
        <v>155.4</v>
      </c>
      <c r="L29" s="3">
        <v>173.4</v>
      </c>
      <c r="M29" s="3">
        <v>121.3</v>
      </c>
      <c r="N29" s="3">
        <v>212.9</v>
      </c>
      <c r="O29" s="3">
        <v>172.9</v>
      </c>
      <c r="P29" s="3">
        <v>193.5</v>
      </c>
      <c r="Q29" s="3">
        <v>177.9</v>
      </c>
      <c r="R29" s="3">
        <v>200.6</v>
      </c>
      <c r="S29" s="3">
        <v>186.9</v>
      </c>
      <c r="T29" s="3">
        <v>179.2</v>
      </c>
      <c r="U29" s="3">
        <v>185.7</v>
      </c>
      <c r="V29" s="3">
        <v>175.2</v>
      </c>
      <c r="W29" s="3">
        <v>181.7</v>
      </c>
      <c r="X29" s="3">
        <v>174.6</v>
      </c>
      <c r="Y29" s="3">
        <v>185</v>
      </c>
      <c r="Z29" s="3">
        <v>164.5</v>
      </c>
      <c r="AA29" s="3">
        <v>170.7</v>
      </c>
      <c r="AB29" s="3">
        <v>176.4</v>
      </c>
      <c r="AC29" s="3">
        <v>184</v>
      </c>
      <c r="AD29" s="3">
        <v>175</v>
      </c>
      <c r="AE29" s="3">
        <v>178.1</v>
      </c>
    </row>
    <row r="30" spans="1:31">
      <c r="A30" t="s">
        <v>34</v>
      </c>
      <c r="B30">
        <v>10628</v>
      </c>
      <c r="C30">
        <v>2023</v>
      </c>
      <c r="D30" t="s">
        <v>38</v>
      </c>
      <c r="E30" s="3">
        <v>173.7</v>
      </c>
      <c r="F30" s="3">
        <v>214.3</v>
      </c>
      <c r="G30" s="3">
        <v>173.2</v>
      </c>
      <c r="H30" s="3">
        <v>179.5</v>
      </c>
      <c r="I30" s="3">
        <v>170</v>
      </c>
      <c r="J30" s="3">
        <v>172.2</v>
      </c>
      <c r="K30" s="3">
        <v>161</v>
      </c>
      <c r="L30" s="3">
        <v>175.6</v>
      </c>
      <c r="M30" s="3">
        <v>122.7</v>
      </c>
      <c r="N30" s="3">
        <v>218</v>
      </c>
      <c r="O30" s="3">
        <v>173.4</v>
      </c>
      <c r="P30" s="3">
        <v>194.2</v>
      </c>
      <c r="Q30" s="3">
        <v>179.1</v>
      </c>
      <c r="R30" s="3">
        <v>201</v>
      </c>
      <c r="S30" s="3">
        <v>187.3</v>
      </c>
      <c r="T30" s="3">
        <v>179.7</v>
      </c>
      <c r="U30" s="3">
        <v>186.2</v>
      </c>
      <c r="V30" s="3">
        <v>175.6</v>
      </c>
      <c r="W30" s="3">
        <v>182.8</v>
      </c>
      <c r="X30" s="3">
        <v>175.2</v>
      </c>
      <c r="Y30" s="3">
        <v>185.7</v>
      </c>
      <c r="Z30" s="3">
        <v>164.8</v>
      </c>
      <c r="AA30" s="3">
        <v>171.2</v>
      </c>
      <c r="AB30" s="3">
        <v>177.1</v>
      </c>
      <c r="AC30" s="3">
        <v>185.2</v>
      </c>
      <c r="AD30" s="3">
        <v>175.7</v>
      </c>
      <c r="AE30" s="3">
        <v>179.1</v>
      </c>
    </row>
    <row r="36" spans="2:4" ht="15.6">
      <c r="B36" s="45" t="s">
        <v>207</v>
      </c>
      <c r="C36" s="46" t="s">
        <v>208</v>
      </c>
      <c r="D36" s="104" t="s">
        <v>209</v>
      </c>
    </row>
    <row r="37" spans="2:4">
      <c r="B37" s="11" t="s">
        <v>3</v>
      </c>
      <c r="C37" s="17">
        <f>CORREL($B$2:$B$30,E$2:E$30)</f>
        <v>0.30771625684579207</v>
      </c>
      <c r="D37" s="47">
        <v>0.30771625684579207</v>
      </c>
    </row>
    <row r="38" spans="2:4">
      <c r="B38" s="11" t="s">
        <v>4</v>
      </c>
      <c r="C38" s="17">
        <f>CORREL($B$2:$B$30,F$2:F$30)</f>
        <v>0.75224664271736941</v>
      </c>
      <c r="D38" s="47">
        <v>0.75224664271736941</v>
      </c>
    </row>
    <row r="39" spans="2:4">
      <c r="B39" s="11" t="s">
        <v>5</v>
      </c>
      <c r="C39" s="17">
        <f>CORREL($B$2:$B$30,G$2:G$30)</f>
        <v>-0.15391219835886533</v>
      </c>
      <c r="D39" s="47">
        <v>-0.15391219835886533</v>
      </c>
    </row>
    <row r="40" spans="2:4">
      <c r="B40" s="11" t="s">
        <v>6</v>
      </c>
      <c r="C40" s="17">
        <f>CORREL($B$2:$B$30,H$2:H$30)</f>
        <v>0.40274655994536601</v>
      </c>
      <c r="D40" s="47">
        <v>0.40274655994536601</v>
      </c>
    </row>
    <row r="41" spans="2:4">
      <c r="B41" s="11" t="s">
        <v>7</v>
      </c>
      <c r="C41" s="17">
        <f>CORREL($B$2:$B$30,I$2:I$30)</f>
        <v>0.77089018754813043</v>
      </c>
      <c r="D41" s="47">
        <v>0.77089018754813043</v>
      </c>
    </row>
    <row r="42" spans="2:4">
      <c r="B42" s="11" t="s">
        <v>8</v>
      </c>
      <c r="C42" s="17">
        <f>CORREL($B$2:$B$30,J$2:J$30)</f>
        <v>0.50273515955600057</v>
      </c>
      <c r="D42" s="47">
        <v>0.50273515955600057</v>
      </c>
    </row>
    <row r="43" spans="2:4">
      <c r="B43" s="11" t="s">
        <v>9</v>
      </c>
      <c r="C43" s="17">
        <f>CORREL($B$2:$B$30,K$2:K$30)</f>
        <v>0.33307762107432071</v>
      </c>
      <c r="D43" s="47">
        <v>0.33307762107432071</v>
      </c>
    </row>
    <row r="44" spans="2:4">
      <c r="B44" s="11" t="s">
        <v>10</v>
      </c>
      <c r="C44" s="17">
        <f>CORREL($B$2:$B$30,L$2:L$30)</f>
        <v>0.20210475794724725</v>
      </c>
      <c r="D44" s="47">
        <v>0.20210475794724725</v>
      </c>
    </row>
    <row r="45" spans="2:4">
      <c r="B45" s="11" t="s">
        <v>11</v>
      </c>
      <c r="C45" s="17">
        <f>CORREL($B$2:$B$30,M$2:M$30)</f>
        <v>0.5303480670017523</v>
      </c>
      <c r="D45" s="47">
        <v>0.5303480670017523</v>
      </c>
    </row>
    <row r="46" spans="2:4">
      <c r="B46" s="11" t="s">
        <v>12</v>
      </c>
      <c r="C46" s="17">
        <f>CORREL($B$2:$B$30,N$2:N$30)</f>
        <v>0.38749503725044177</v>
      </c>
      <c r="D46" s="47">
        <v>0.38749503725044177</v>
      </c>
    </row>
    <row r="47" spans="2:4">
      <c r="B47" s="11" t="s">
        <v>13</v>
      </c>
      <c r="C47" s="17">
        <f>CORREL($B$2:$B$30,O$2:O$30)</f>
        <v>0.5719871020653724</v>
      </c>
      <c r="D47" s="47">
        <v>0.5719871020653724</v>
      </c>
    </row>
    <row r="48" spans="2:4">
      <c r="B48" s="11" t="s">
        <v>14</v>
      </c>
      <c r="C48" s="17">
        <f>CORREL($B$2:$B$30,P$2:P$30)</f>
        <v>0.5203667625412054</v>
      </c>
      <c r="D48" s="47">
        <v>0.5203667625412054</v>
      </c>
    </row>
    <row r="49" spans="2:4">
      <c r="B49" s="11" t="s">
        <v>15</v>
      </c>
      <c r="C49" s="17">
        <f>CORREL($B$2:$B$30,Q$2:Q$30)</f>
        <v>0.60618262763499764</v>
      </c>
      <c r="D49" s="47">
        <v>0.60618262763499764</v>
      </c>
    </row>
    <row r="50" spans="2:4">
      <c r="B50" s="11" t="s">
        <v>16</v>
      </c>
      <c r="C50" s="17">
        <f>CORREL($B$2:$B$30,R$2:R$30)</f>
        <v>0.41734986278547148</v>
      </c>
      <c r="D50" s="47">
        <v>0.41734986278547148</v>
      </c>
    </row>
    <row r="51" spans="2:4">
      <c r="B51" s="11" t="s">
        <v>17</v>
      </c>
      <c r="C51" s="17">
        <f>CORREL($B$2:$B$30,S$2:S$30)</f>
        <v>0.55686493185592656</v>
      </c>
      <c r="D51" s="47">
        <v>0.55686493185592656</v>
      </c>
    </row>
    <row r="52" spans="2:4">
      <c r="B52" s="11" t="s">
        <v>18</v>
      </c>
      <c r="C52" s="17">
        <f>CORREL($B$2:$B$30,T$2:T$30)</f>
        <v>0.58432333190944719</v>
      </c>
      <c r="D52" s="47">
        <v>0.58432333190944719</v>
      </c>
    </row>
    <row r="53" spans="2:4">
      <c r="B53" s="11" t="s">
        <v>19</v>
      </c>
      <c r="C53" s="17">
        <f>CORREL($B$2:$B$30,U$2:U$30)</f>
        <v>0.56138730489788657</v>
      </c>
      <c r="D53" s="47">
        <v>0.56138730489788657</v>
      </c>
    </row>
    <row r="54" spans="2:4">
      <c r="B54" s="11" t="s">
        <v>20</v>
      </c>
      <c r="C54" s="17">
        <f>CORREL($B$2:$B$30,V$2:V$30)</f>
        <v>0.46611109700609699</v>
      </c>
      <c r="D54" s="47">
        <v>0.46611109700609699</v>
      </c>
    </row>
    <row r="55" spans="2:4">
      <c r="B55" s="11" t="s">
        <v>21</v>
      </c>
      <c r="C55" s="17">
        <f>CORREL($B$2:$B$30,W$2:W$30)</f>
        <v>0.60489734829911701</v>
      </c>
      <c r="D55" s="47">
        <v>0.60489734829911701</v>
      </c>
    </row>
    <row r="56" spans="2:4">
      <c r="B56" s="11" t="s">
        <v>22</v>
      </c>
      <c r="C56" s="17">
        <f>CORREL($B$2:$B$30,X$2:X$30)</f>
        <v>0.54190745141752861</v>
      </c>
      <c r="D56" s="47">
        <v>0.54190745141752861</v>
      </c>
    </row>
    <row r="57" spans="2:4">
      <c r="B57" s="11" t="s">
        <v>23</v>
      </c>
      <c r="C57" s="17">
        <f>CORREL($B$2:$B$30,Y$2:Y$30)</f>
        <v>0.50592189335027693</v>
      </c>
      <c r="D57" s="47">
        <v>0.50592189335027693</v>
      </c>
    </row>
    <row r="58" spans="2:4">
      <c r="B58" s="11" t="s">
        <v>24</v>
      </c>
      <c r="C58" s="17">
        <f>CORREL($B$2:$B$30,Z$2:Z$30)</f>
        <v>0.68998927936443621</v>
      </c>
      <c r="D58" s="47">
        <v>0.68998927936443621</v>
      </c>
    </row>
    <row r="59" spans="2:4">
      <c r="B59" s="11" t="s">
        <v>25</v>
      </c>
      <c r="C59" s="17">
        <f>CORREL($B$2:$B$30,AA$2:AA$30)</f>
        <v>0.62329058671897064</v>
      </c>
      <c r="D59" s="47">
        <v>0.62329058671897064</v>
      </c>
    </row>
    <row r="60" spans="2:4">
      <c r="B60" s="11" t="s">
        <v>26</v>
      </c>
      <c r="C60" s="17">
        <f>CORREL($B$2:$B$30,AB$2:AB$30)</f>
        <v>0.47682177363862294</v>
      </c>
      <c r="D60" s="47">
        <v>0.47682177363862294</v>
      </c>
    </row>
    <row r="61" spans="2:4">
      <c r="B61" s="11" t="s">
        <v>27</v>
      </c>
      <c r="C61" s="17">
        <f>CORREL($B$2:$B$30,AC$2:AC$30)</f>
        <v>0.44425767847916869</v>
      </c>
      <c r="D61" s="47">
        <v>0.44425767847916869</v>
      </c>
    </row>
    <row r="62" spans="2:4">
      <c r="B62" s="11" t="s">
        <v>28</v>
      </c>
      <c r="C62" s="17">
        <f>CORREL($B$2:$B$30,AD$2:AD$30)</f>
        <v>0.56746216042913178</v>
      </c>
      <c r="D62" s="47">
        <v>0.56746216042913178</v>
      </c>
    </row>
    <row r="63" spans="2:4">
      <c r="B63" s="11" t="s">
        <v>29</v>
      </c>
      <c r="C63" s="17">
        <f>CORREL($B$2:$B$30,AE$2:AE$30)</f>
        <v>0.5872510998192717</v>
      </c>
      <c r="D63" s="47">
        <v>0.5872510998192717</v>
      </c>
    </row>
  </sheetData>
  <conditionalFormatting sqref="C37:C6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D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 Data</vt:lpstr>
      <vt:lpstr>Main data</vt:lpstr>
      <vt:lpstr>Notes</vt:lpstr>
      <vt:lpstr>Problem Statement</vt:lpstr>
      <vt:lpstr>Communication</vt:lpstr>
      <vt:lpstr>Objective 1</vt:lpstr>
      <vt:lpstr>Objective 2</vt:lpstr>
      <vt:lpstr>Objective 2.1</vt:lpstr>
      <vt:lpstr>Objective 3</vt:lpstr>
      <vt:lpstr>Objective 3.1</vt:lpstr>
      <vt:lpstr>Objective 4</vt:lpstr>
      <vt:lpstr>Objective 4.1</vt:lpstr>
      <vt:lpstr>Objective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riyapaswan124@gmail.com</dc:creator>
  <cp:lastModifiedBy>riyapaswan124@gmail.com</cp:lastModifiedBy>
  <dcterms:created xsi:type="dcterms:W3CDTF">2024-07-29T10:19:14Z</dcterms:created>
  <dcterms:modified xsi:type="dcterms:W3CDTF">2024-08-04T08:14:22Z</dcterms:modified>
</cp:coreProperties>
</file>